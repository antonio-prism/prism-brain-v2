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groupips-my.sharepoint.com/personal/carlos_bravo_fernandez_group-ips_com/Documents/Group IPS/PRISM/XX. PROJECTS/01. THUNE EUREKA/"/>
    </mc:Choice>
  </mc:AlternateContent>
  <xr:revisionPtr revIDLastSave="5" documentId="8_{9279CC6A-4C28-4E1C-B5E6-3194F414B0DE}" xr6:coauthVersionLast="47" xr6:coauthVersionMax="47" xr10:uidLastSave="{48A90C3D-E560-4A2A-8E57-2A46EF13CED5}"/>
  <bookViews>
    <workbookView xWindow="-120" yWindow="-120" windowWidth="29040" windowHeight="15720" activeTab="6" xr2:uid="{00000000-000D-0000-FFFF-FFFF00000000}"/>
  </bookViews>
  <sheets>
    <sheet name="Frontpage" sheetId="1" r:id="rId1"/>
    <sheet name="Instructions" sheetId="2" r:id="rId2"/>
    <sheet name="Company Profile" sheetId="3" r:id="rId3"/>
    <sheet name="SCOPE A" sheetId="4" r:id="rId4"/>
    <sheet name="SCOPE B" sheetId="5" r:id="rId5"/>
    <sheet name="SCOPE C" sheetId="6" r:id="rId6"/>
    <sheet name="SCOPE D" sheetId="7" r:id="rId7"/>
    <sheet name="Summary" sheetId="8"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s>
  <definedNames>
    <definedName name="\b">#REF!</definedName>
    <definedName name="\f">#REF!</definedName>
    <definedName name="\g">#REF!</definedName>
    <definedName name="\k">#REF!</definedName>
    <definedName name="\l">#REF!</definedName>
    <definedName name="\o">#REF!</definedName>
    <definedName name="\r">#REF!</definedName>
    <definedName name="\s">#REF!</definedName>
    <definedName name="\t">#REF!</definedName>
    <definedName name="\w">#REF!</definedName>
    <definedName name="_____________________DWG2" hidden="1">{#N/A,#N/A,FALSE,"Vessel1 1";#N/A,#N/A,FALSE,"Vessel1 2";#N/A,#N/A,FALSE,"Vessel1 3";#N/A,#N/A,FALSE,"Vessel1 4";#N/A,#N/A,FALSE,"Vessel1 5";#N/A,#N/A,FALSE,"Vessel1 6";#N/A,#N/A,FALSE,"Vessel1 7";#N/A,#N/A,FALSE,"Vessel1 8";#N/A,#N/A,FALSE,"Vessel1 9";#N/A,#N/A,FALSE,"Vessel1 10";#N/A,#N/A,FALSE,"Vessel1 11"}</definedName>
    <definedName name="_____________________L" hidden="1">{#N/A,#N/A,FALSE,"Vessel1 1";#N/A,#N/A,FALSE,"Vessel1 2";#N/A,#N/A,FALSE,"Vessel1 3";#N/A,#N/A,FALSE,"Vessel1 4";#N/A,#N/A,FALSE,"Vessel1 5";#N/A,#N/A,FALSE,"Vessel1 6";#N/A,#N/A,FALSE,"Vessel1 7";#N/A,#N/A,FALSE,"Vessel1 8";#N/A,#N/A,FALSE,"Vessel1 9";#N/A,#N/A,FALSE,"Vessel1 10";#N/A,#N/A,FALSE,"Vessel1 11"}</definedName>
    <definedName name="____________________DWG2" hidden="1">{#N/A,#N/A,FALSE,"Vessel1 1";#N/A,#N/A,FALSE,"Vessel1 2";#N/A,#N/A,FALSE,"Vessel1 3";#N/A,#N/A,FALSE,"Vessel1 4";#N/A,#N/A,FALSE,"Vessel1 5";#N/A,#N/A,FALSE,"Vessel1 6";#N/A,#N/A,FALSE,"Vessel1 7";#N/A,#N/A,FALSE,"Vessel1 8";#N/A,#N/A,FALSE,"Vessel1 9";#N/A,#N/A,FALSE,"Vessel1 10";#N/A,#N/A,FALSE,"Vessel1 11"}</definedName>
    <definedName name="____________________L" hidden="1">{#N/A,#N/A,FALSE,"Vessel1 1";#N/A,#N/A,FALSE,"Vessel1 2";#N/A,#N/A,FALSE,"Vessel1 3";#N/A,#N/A,FALSE,"Vessel1 4";#N/A,#N/A,FALSE,"Vessel1 5";#N/A,#N/A,FALSE,"Vessel1 6";#N/A,#N/A,FALSE,"Vessel1 7";#N/A,#N/A,FALSE,"Vessel1 8";#N/A,#N/A,FALSE,"Vessel1 9";#N/A,#N/A,FALSE,"Vessel1 10";#N/A,#N/A,FALSE,"Vessel1 11"}</definedName>
    <definedName name="___________________DWG2" hidden="1">{#N/A,#N/A,FALSE,"Vessel1 1";#N/A,#N/A,FALSE,"Vessel1 2";#N/A,#N/A,FALSE,"Vessel1 3";#N/A,#N/A,FALSE,"Vessel1 4";#N/A,#N/A,FALSE,"Vessel1 5";#N/A,#N/A,FALSE,"Vessel1 6";#N/A,#N/A,FALSE,"Vessel1 7";#N/A,#N/A,FALSE,"Vessel1 8";#N/A,#N/A,FALSE,"Vessel1 9";#N/A,#N/A,FALSE,"Vessel1 10";#N/A,#N/A,FALSE,"Vessel1 11"}</definedName>
    <definedName name="___________________L" hidden="1">{#N/A,#N/A,FALSE,"Vessel1 1";#N/A,#N/A,FALSE,"Vessel1 2";#N/A,#N/A,FALSE,"Vessel1 3";#N/A,#N/A,FALSE,"Vessel1 4";#N/A,#N/A,FALSE,"Vessel1 5";#N/A,#N/A,FALSE,"Vessel1 6";#N/A,#N/A,FALSE,"Vessel1 7";#N/A,#N/A,FALSE,"Vessel1 8";#N/A,#N/A,FALSE,"Vessel1 9";#N/A,#N/A,FALSE,"Vessel1 10";#N/A,#N/A,FALSE,"Vessel1 11"}</definedName>
    <definedName name="__________________DWG2" hidden="1">{#N/A,#N/A,FALSE,"Vessel1 1";#N/A,#N/A,FALSE,"Vessel1 2";#N/A,#N/A,FALSE,"Vessel1 3";#N/A,#N/A,FALSE,"Vessel1 4";#N/A,#N/A,FALSE,"Vessel1 5";#N/A,#N/A,FALSE,"Vessel1 6";#N/A,#N/A,FALSE,"Vessel1 7";#N/A,#N/A,FALSE,"Vessel1 8";#N/A,#N/A,FALSE,"Vessel1 9";#N/A,#N/A,FALSE,"Vessel1 10";#N/A,#N/A,FALSE,"Vessel1 11"}</definedName>
    <definedName name="__________________L" hidden="1">{#N/A,#N/A,FALSE,"Vessel1 1";#N/A,#N/A,FALSE,"Vessel1 2";#N/A,#N/A,FALSE,"Vessel1 3";#N/A,#N/A,FALSE,"Vessel1 4";#N/A,#N/A,FALSE,"Vessel1 5";#N/A,#N/A,FALSE,"Vessel1 6";#N/A,#N/A,FALSE,"Vessel1 7";#N/A,#N/A,FALSE,"Vessel1 8";#N/A,#N/A,FALSE,"Vessel1 9";#N/A,#N/A,FALSE,"Vessel1 10";#N/A,#N/A,FALSE,"Vessel1 11"}</definedName>
    <definedName name="_________________DWG2" hidden="1">{#N/A,#N/A,FALSE,"Vessel1 1";#N/A,#N/A,FALSE,"Vessel1 2";#N/A,#N/A,FALSE,"Vessel1 3";#N/A,#N/A,FALSE,"Vessel1 4";#N/A,#N/A,FALSE,"Vessel1 5";#N/A,#N/A,FALSE,"Vessel1 6";#N/A,#N/A,FALSE,"Vessel1 7";#N/A,#N/A,FALSE,"Vessel1 8";#N/A,#N/A,FALSE,"Vessel1 9";#N/A,#N/A,FALSE,"Vessel1 10";#N/A,#N/A,FALSE,"Vessel1 11"}</definedName>
    <definedName name="_________________L" hidden="1">{#N/A,#N/A,FALSE,"Vessel1 1";#N/A,#N/A,FALSE,"Vessel1 2";#N/A,#N/A,FALSE,"Vessel1 3";#N/A,#N/A,FALSE,"Vessel1 4";#N/A,#N/A,FALSE,"Vessel1 5";#N/A,#N/A,FALSE,"Vessel1 6";#N/A,#N/A,FALSE,"Vessel1 7";#N/A,#N/A,FALSE,"Vessel1 8";#N/A,#N/A,FALSE,"Vessel1 9";#N/A,#N/A,FALSE,"Vessel1 10";#N/A,#N/A,FALSE,"Vessel1 11"}</definedName>
    <definedName name="________________DWG2" hidden="1">{#N/A,#N/A,FALSE,"Vessel1 1";#N/A,#N/A,FALSE,"Vessel1 2";#N/A,#N/A,FALSE,"Vessel1 3";#N/A,#N/A,FALSE,"Vessel1 4";#N/A,#N/A,FALSE,"Vessel1 5";#N/A,#N/A,FALSE,"Vessel1 6";#N/A,#N/A,FALSE,"Vessel1 7";#N/A,#N/A,FALSE,"Vessel1 8";#N/A,#N/A,FALSE,"Vessel1 9";#N/A,#N/A,FALSE,"Vessel1 10";#N/A,#N/A,FALSE,"Vessel1 11"}</definedName>
    <definedName name="________________L" hidden="1">{#N/A,#N/A,FALSE,"Vessel1 1";#N/A,#N/A,FALSE,"Vessel1 2";#N/A,#N/A,FALSE,"Vessel1 3";#N/A,#N/A,FALSE,"Vessel1 4";#N/A,#N/A,FALSE,"Vessel1 5";#N/A,#N/A,FALSE,"Vessel1 6";#N/A,#N/A,FALSE,"Vessel1 7";#N/A,#N/A,FALSE,"Vessel1 8";#N/A,#N/A,FALSE,"Vessel1 9";#N/A,#N/A,FALSE,"Vessel1 10";#N/A,#N/A,FALSE,"Vessel1 11"}</definedName>
    <definedName name="_______________DWG2" hidden="1">{#N/A,#N/A,FALSE,"Vessel1 1";#N/A,#N/A,FALSE,"Vessel1 2";#N/A,#N/A,FALSE,"Vessel1 3";#N/A,#N/A,FALSE,"Vessel1 4";#N/A,#N/A,FALSE,"Vessel1 5";#N/A,#N/A,FALSE,"Vessel1 6";#N/A,#N/A,FALSE,"Vessel1 7";#N/A,#N/A,FALSE,"Vessel1 8";#N/A,#N/A,FALSE,"Vessel1 9";#N/A,#N/A,FALSE,"Vessel1 10";#N/A,#N/A,FALSE,"Vessel1 11"}</definedName>
    <definedName name="_______________L" hidden="1">{#N/A,#N/A,FALSE,"Vessel1 1";#N/A,#N/A,FALSE,"Vessel1 2";#N/A,#N/A,FALSE,"Vessel1 3";#N/A,#N/A,FALSE,"Vessel1 4";#N/A,#N/A,FALSE,"Vessel1 5";#N/A,#N/A,FALSE,"Vessel1 6";#N/A,#N/A,FALSE,"Vessel1 7";#N/A,#N/A,FALSE,"Vessel1 8";#N/A,#N/A,FALSE,"Vessel1 9";#N/A,#N/A,FALSE,"Vessel1 10";#N/A,#N/A,FALSE,"Vessel1 11"}</definedName>
    <definedName name="______________DWG2" hidden="1">{#N/A,#N/A,FALSE,"Vessel1 1";#N/A,#N/A,FALSE,"Vessel1 2";#N/A,#N/A,FALSE,"Vessel1 3";#N/A,#N/A,FALSE,"Vessel1 4";#N/A,#N/A,FALSE,"Vessel1 5";#N/A,#N/A,FALSE,"Vessel1 6";#N/A,#N/A,FALSE,"Vessel1 7";#N/A,#N/A,FALSE,"Vessel1 8";#N/A,#N/A,FALSE,"Vessel1 9";#N/A,#N/A,FALSE,"Vessel1 10";#N/A,#N/A,FALSE,"Vessel1 11"}</definedName>
    <definedName name="______________L" hidden="1">{#N/A,#N/A,FALSE,"Vessel1 1";#N/A,#N/A,FALSE,"Vessel1 2";#N/A,#N/A,FALSE,"Vessel1 3";#N/A,#N/A,FALSE,"Vessel1 4";#N/A,#N/A,FALSE,"Vessel1 5";#N/A,#N/A,FALSE,"Vessel1 6";#N/A,#N/A,FALSE,"Vessel1 7";#N/A,#N/A,FALSE,"Vessel1 8";#N/A,#N/A,FALSE,"Vessel1 9";#N/A,#N/A,FALSE,"Vessel1 10";#N/A,#N/A,FALSE,"Vessel1 11"}</definedName>
    <definedName name="_____________DWG2" hidden="1">{#N/A,#N/A,FALSE,"Vessel1 1";#N/A,#N/A,FALSE,"Vessel1 2";#N/A,#N/A,FALSE,"Vessel1 3";#N/A,#N/A,FALSE,"Vessel1 4";#N/A,#N/A,FALSE,"Vessel1 5";#N/A,#N/A,FALSE,"Vessel1 6";#N/A,#N/A,FALSE,"Vessel1 7";#N/A,#N/A,FALSE,"Vessel1 8";#N/A,#N/A,FALSE,"Vessel1 9";#N/A,#N/A,FALSE,"Vessel1 10";#N/A,#N/A,FALSE,"Vessel1 11"}</definedName>
    <definedName name="_____________L" hidden="1">{#N/A,#N/A,FALSE,"Vessel1 1";#N/A,#N/A,FALSE,"Vessel1 2";#N/A,#N/A,FALSE,"Vessel1 3";#N/A,#N/A,FALSE,"Vessel1 4";#N/A,#N/A,FALSE,"Vessel1 5";#N/A,#N/A,FALSE,"Vessel1 6";#N/A,#N/A,FALSE,"Vessel1 7";#N/A,#N/A,FALSE,"Vessel1 8";#N/A,#N/A,FALSE,"Vessel1 9";#N/A,#N/A,FALSE,"Vessel1 10";#N/A,#N/A,FALSE,"Vessel1 11"}</definedName>
    <definedName name="____________DWG2" hidden="1">{#N/A,#N/A,FALSE,"Vessel1 1";#N/A,#N/A,FALSE,"Vessel1 2";#N/A,#N/A,FALSE,"Vessel1 3";#N/A,#N/A,FALSE,"Vessel1 4";#N/A,#N/A,FALSE,"Vessel1 5";#N/A,#N/A,FALSE,"Vessel1 6";#N/A,#N/A,FALSE,"Vessel1 7";#N/A,#N/A,FALSE,"Vessel1 8";#N/A,#N/A,FALSE,"Vessel1 9";#N/A,#N/A,FALSE,"Vessel1 10";#N/A,#N/A,FALSE,"Vessel1 11"}</definedName>
    <definedName name="____________L" hidden="1">{#N/A,#N/A,FALSE,"Vessel1 1";#N/A,#N/A,FALSE,"Vessel1 2";#N/A,#N/A,FALSE,"Vessel1 3";#N/A,#N/A,FALSE,"Vessel1 4";#N/A,#N/A,FALSE,"Vessel1 5";#N/A,#N/A,FALSE,"Vessel1 6";#N/A,#N/A,FALSE,"Vessel1 7";#N/A,#N/A,FALSE,"Vessel1 8";#N/A,#N/A,FALSE,"Vessel1 9";#N/A,#N/A,FALSE,"Vessel1 10";#N/A,#N/A,FALSE,"Vessel1 11"}</definedName>
    <definedName name="___________DWG2" hidden="1">{#N/A,#N/A,FALSE,"Vessel1 1";#N/A,#N/A,FALSE,"Vessel1 2";#N/A,#N/A,FALSE,"Vessel1 3";#N/A,#N/A,FALSE,"Vessel1 4";#N/A,#N/A,FALSE,"Vessel1 5";#N/A,#N/A,FALSE,"Vessel1 6";#N/A,#N/A,FALSE,"Vessel1 7";#N/A,#N/A,FALSE,"Vessel1 8";#N/A,#N/A,FALSE,"Vessel1 9";#N/A,#N/A,FALSE,"Vessel1 10";#N/A,#N/A,FALSE,"Vessel1 11"}</definedName>
    <definedName name="___________L" hidden="1">{#N/A,#N/A,FALSE,"Vessel1 1";#N/A,#N/A,FALSE,"Vessel1 2";#N/A,#N/A,FALSE,"Vessel1 3";#N/A,#N/A,FALSE,"Vessel1 4";#N/A,#N/A,FALSE,"Vessel1 5";#N/A,#N/A,FALSE,"Vessel1 6";#N/A,#N/A,FALSE,"Vessel1 7";#N/A,#N/A,FALSE,"Vessel1 8";#N/A,#N/A,FALSE,"Vessel1 9";#N/A,#N/A,FALSE,"Vessel1 10";#N/A,#N/A,FALSE,"Vessel1 11"}</definedName>
    <definedName name="__________DWG2" hidden="1">{#N/A,#N/A,FALSE,"Vessel1 1";#N/A,#N/A,FALSE,"Vessel1 2";#N/A,#N/A,FALSE,"Vessel1 3";#N/A,#N/A,FALSE,"Vessel1 4";#N/A,#N/A,FALSE,"Vessel1 5";#N/A,#N/A,FALSE,"Vessel1 6";#N/A,#N/A,FALSE,"Vessel1 7";#N/A,#N/A,FALSE,"Vessel1 8";#N/A,#N/A,FALSE,"Vessel1 9";#N/A,#N/A,FALSE,"Vessel1 10";#N/A,#N/A,FALSE,"Vessel1 11"}</definedName>
    <definedName name="__________L" hidden="1">{#N/A,#N/A,FALSE,"Vessel1 1";#N/A,#N/A,FALSE,"Vessel1 2";#N/A,#N/A,FALSE,"Vessel1 3";#N/A,#N/A,FALSE,"Vessel1 4";#N/A,#N/A,FALSE,"Vessel1 5";#N/A,#N/A,FALSE,"Vessel1 6";#N/A,#N/A,FALSE,"Vessel1 7";#N/A,#N/A,FALSE,"Vessel1 8";#N/A,#N/A,FALSE,"Vessel1 9";#N/A,#N/A,FALSE,"Vessel1 10";#N/A,#N/A,FALSE,"Vessel1 11"}</definedName>
    <definedName name="_________DWG2" hidden="1">{#N/A,#N/A,FALSE,"Vessel1 1";#N/A,#N/A,FALSE,"Vessel1 2";#N/A,#N/A,FALSE,"Vessel1 3";#N/A,#N/A,FALSE,"Vessel1 4";#N/A,#N/A,FALSE,"Vessel1 5";#N/A,#N/A,FALSE,"Vessel1 6";#N/A,#N/A,FALSE,"Vessel1 7";#N/A,#N/A,FALSE,"Vessel1 8";#N/A,#N/A,FALSE,"Vessel1 9";#N/A,#N/A,FALSE,"Vessel1 10";#N/A,#N/A,FALSE,"Vessel1 11"}</definedName>
    <definedName name="_________L" hidden="1">{#N/A,#N/A,FALSE,"Vessel1 1";#N/A,#N/A,FALSE,"Vessel1 2";#N/A,#N/A,FALSE,"Vessel1 3";#N/A,#N/A,FALSE,"Vessel1 4";#N/A,#N/A,FALSE,"Vessel1 5";#N/A,#N/A,FALSE,"Vessel1 6";#N/A,#N/A,FALSE,"Vessel1 7";#N/A,#N/A,FALSE,"Vessel1 8";#N/A,#N/A,FALSE,"Vessel1 9";#N/A,#N/A,FALSE,"Vessel1 10";#N/A,#N/A,FALSE,"Vessel1 11"}</definedName>
    <definedName name="________DWG2" hidden="1">{#N/A,#N/A,FALSE,"Vessel1 1";#N/A,#N/A,FALSE,"Vessel1 2";#N/A,#N/A,FALSE,"Vessel1 3";#N/A,#N/A,FALSE,"Vessel1 4";#N/A,#N/A,FALSE,"Vessel1 5";#N/A,#N/A,FALSE,"Vessel1 6";#N/A,#N/A,FALSE,"Vessel1 7";#N/A,#N/A,FALSE,"Vessel1 8";#N/A,#N/A,FALSE,"Vessel1 9";#N/A,#N/A,FALSE,"Vessel1 10";#N/A,#N/A,FALSE,"Vessel1 11"}</definedName>
    <definedName name="________L" hidden="1">{#N/A,#N/A,FALSE,"Vessel1 1";#N/A,#N/A,FALSE,"Vessel1 2";#N/A,#N/A,FALSE,"Vessel1 3";#N/A,#N/A,FALSE,"Vessel1 4";#N/A,#N/A,FALSE,"Vessel1 5";#N/A,#N/A,FALSE,"Vessel1 6";#N/A,#N/A,FALSE,"Vessel1 7";#N/A,#N/A,FALSE,"Vessel1 8";#N/A,#N/A,FALSE,"Vessel1 9";#N/A,#N/A,FALSE,"Vessel1 10";#N/A,#N/A,FALSE,"Vessel1 11"}</definedName>
    <definedName name="_______DWG2" hidden="1">{#N/A,#N/A,FALSE,"Vessel1 1";#N/A,#N/A,FALSE,"Vessel1 2";#N/A,#N/A,FALSE,"Vessel1 3";#N/A,#N/A,FALSE,"Vessel1 4";#N/A,#N/A,FALSE,"Vessel1 5";#N/A,#N/A,FALSE,"Vessel1 6";#N/A,#N/A,FALSE,"Vessel1 7";#N/A,#N/A,FALSE,"Vessel1 8";#N/A,#N/A,FALSE,"Vessel1 9";#N/A,#N/A,FALSE,"Vessel1 10";#N/A,#N/A,FALSE,"Vessel1 11"}</definedName>
    <definedName name="_______L" hidden="1">{#N/A,#N/A,FALSE,"Vessel1 1";#N/A,#N/A,FALSE,"Vessel1 2";#N/A,#N/A,FALSE,"Vessel1 3";#N/A,#N/A,FALSE,"Vessel1 4";#N/A,#N/A,FALSE,"Vessel1 5";#N/A,#N/A,FALSE,"Vessel1 6";#N/A,#N/A,FALSE,"Vessel1 7";#N/A,#N/A,FALSE,"Vessel1 8";#N/A,#N/A,FALSE,"Vessel1 9";#N/A,#N/A,FALSE,"Vessel1 10";#N/A,#N/A,FALSE,"Vessel1 11"}</definedName>
    <definedName name="______DWG2" hidden="1">{#N/A,#N/A,FALSE,"Vessel1 1";#N/A,#N/A,FALSE,"Vessel1 2";#N/A,#N/A,FALSE,"Vessel1 3";#N/A,#N/A,FALSE,"Vessel1 4";#N/A,#N/A,FALSE,"Vessel1 5";#N/A,#N/A,FALSE,"Vessel1 6";#N/A,#N/A,FALSE,"Vessel1 7";#N/A,#N/A,FALSE,"Vessel1 8";#N/A,#N/A,FALSE,"Vessel1 9";#N/A,#N/A,FALSE,"Vessel1 10";#N/A,#N/A,FALSE,"Vessel1 11"}</definedName>
    <definedName name="______L" hidden="1">{#N/A,#N/A,FALSE,"Vessel1 1";#N/A,#N/A,FALSE,"Vessel1 2";#N/A,#N/A,FALSE,"Vessel1 3";#N/A,#N/A,FALSE,"Vessel1 4";#N/A,#N/A,FALSE,"Vessel1 5";#N/A,#N/A,FALSE,"Vessel1 6";#N/A,#N/A,FALSE,"Vessel1 7";#N/A,#N/A,FALSE,"Vessel1 8";#N/A,#N/A,FALSE,"Vessel1 9";#N/A,#N/A,FALSE,"Vessel1 10";#N/A,#N/A,FALSE,"Vessel1 11"}</definedName>
    <definedName name="_____DWG2" hidden="1">{#N/A,#N/A,FALSE,"Vessel1 1";#N/A,#N/A,FALSE,"Vessel1 2";#N/A,#N/A,FALSE,"Vessel1 3";#N/A,#N/A,FALSE,"Vessel1 4";#N/A,#N/A,FALSE,"Vessel1 5";#N/A,#N/A,FALSE,"Vessel1 6";#N/A,#N/A,FALSE,"Vessel1 7";#N/A,#N/A,FALSE,"Vessel1 8";#N/A,#N/A,FALSE,"Vessel1 9";#N/A,#N/A,FALSE,"Vessel1 10";#N/A,#N/A,FALSE,"Vessel1 11"}</definedName>
    <definedName name="_____L" hidden="1">{#N/A,#N/A,FALSE,"Vessel1 1";#N/A,#N/A,FALSE,"Vessel1 2";#N/A,#N/A,FALSE,"Vessel1 3";#N/A,#N/A,FALSE,"Vessel1 4";#N/A,#N/A,FALSE,"Vessel1 5";#N/A,#N/A,FALSE,"Vessel1 6";#N/A,#N/A,FALSE,"Vessel1 7";#N/A,#N/A,FALSE,"Vessel1 8";#N/A,#N/A,FALSE,"Vessel1 9";#N/A,#N/A,FALSE,"Vessel1 10";#N/A,#N/A,FALSE,"Vessel1 11"}</definedName>
    <definedName name="____DWG2" hidden="1">{#N/A,#N/A,FALSE,"Vessel1 1";#N/A,#N/A,FALSE,"Vessel1 2";#N/A,#N/A,FALSE,"Vessel1 3";#N/A,#N/A,FALSE,"Vessel1 4";#N/A,#N/A,FALSE,"Vessel1 5";#N/A,#N/A,FALSE,"Vessel1 6";#N/A,#N/A,FALSE,"Vessel1 7";#N/A,#N/A,FALSE,"Vessel1 8";#N/A,#N/A,FALSE,"Vessel1 9";#N/A,#N/A,FALSE,"Vessel1 10";#N/A,#N/A,FALSE,"Vessel1 11"}</definedName>
    <definedName name="____L" hidden="1">{#N/A,#N/A,FALSE,"Vessel1 1";#N/A,#N/A,FALSE,"Vessel1 2";#N/A,#N/A,FALSE,"Vessel1 3";#N/A,#N/A,FALSE,"Vessel1 4";#N/A,#N/A,FALSE,"Vessel1 5";#N/A,#N/A,FALSE,"Vessel1 6";#N/A,#N/A,FALSE,"Vessel1 7";#N/A,#N/A,FALSE,"Vessel1 8";#N/A,#N/A,FALSE,"Vessel1 9";#N/A,#N/A,FALSE,"Vessel1 10";#N/A,#N/A,FALSE,"Vessel1 11"}</definedName>
    <definedName name="___DWG2" localSheetId="0" hidden="1">{#N/A,#N/A,FALSE,"Vessel1 1";#N/A,#N/A,FALSE,"Vessel1 2";#N/A,#N/A,FALSE,"Vessel1 3";#N/A,#N/A,FALSE,"Vessel1 4";#N/A,#N/A,FALSE,"Vessel1 5";#N/A,#N/A,FALSE,"Vessel1 6";#N/A,#N/A,FALSE,"Vessel1 7";#N/A,#N/A,FALSE,"Vessel1 8";#N/A,#N/A,FALSE,"Vessel1 9";#N/A,#N/A,FALSE,"Vessel1 10";#N/A,#N/A,FALSE,"Vessel1 11"}</definedName>
    <definedName name="___DWG2" hidden="1">{#N/A,#N/A,FALSE,"Vessel1 1";#N/A,#N/A,FALSE,"Vessel1 2";#N/A,#N/A,FALSE,"Vessel1 3";#N/A,#N/A,FALSE,"Vessel1 4";#N/A,#N/A,FALSE,"Vessel1 5";#N/A,#N/A,FALSE,"Vessel1 6";#N/A,#N/A,FALSE,"Vessel1 7";#N/A,#N/A,FALSE,"Vessel1 8";#N/A,#N/A,FALSE,"Vessel1 9";#N/A,#N/A,FALSE,"Vessel1 10";#N/A,#N/A,FALSE,"Vessel1 11"}</definedName>
    <definedName name="___L" localSheetId="0" hidden="1">{#N/A,#N/A,FALSE,"Vessel1 1";#N/A,#N/A,FALSE,"Vessel1 2";#N/A,#N/A,FALSE,"Vessel1 3";#N/A,#N/A,FALSE,"Vessel1 4";#N/A,#N/A,FALSE,"Vessel1 5";#N/A,#N/A,FALSE,"Vessel1 6";#N/A,#N/A,FALSE,"Vessel1 7";#N/A,#N/A,FALSE,"Vessel1 8";#N/A,#N/A,FALSE,"Vessel1 9";#N/A,#N/A,FALSE,"Vessel1 10";#N/A,#N/A,FALSE,"Vessel1 11"}</definedName>
    <definedName name="___L" hidden="1">{#N/A,#N/A,FALSE,"Vessel1 1";#N/A,#N/A,FALSE,"Vessel1 2";#N/A,#N/A,FALSE,"Vessel1 3";#N/A,#N/A,FALSE,"Vessel1 4";#N/A,#N/A,FALSE,"Vessel1 5";#N/A,#N/A,FALSE,"Vessel1 6";#N/A,#N/A,FALSE,"Vessel1 7";#N/A,#N/A,FALSE,"Vessel1 8";#N/A,#N/A,FALSE,"Vessel1 9";#N/A,#N/A,FALSE,"Vessel1 10";#N/A,#N/A,FALSE,"Vessel1 11"}</definedName>
    <definedName name="__123Graph_A" hidden="1">[1]DRUM!#REF!</definedName>
    <definedName name="__123Graph_B" hidden="1">[1]DRUM!#REF!</definedName>
    <definedName name="__123Graph_C" hidden="1">[1]DRUM!#REF!</definedName>
    <definedName name="__123Graph_D" hidden="1">[1]DRUM!#REF!</definedName>
    <definedName name="__123Graph_X" hidden="1">[1]DRUM!#REF!</definedName>
    <definedName name="__A1" hidden="1">{#N/A,#N/A,TRUE,"Basic";#N/A,#N/A,TRUE,"EXT-TABLE";#N/A,#N/A,TRUE,"STEEL";#N/A,#N/A,TRUE,"INT-Table";#N/A,#N/A,TRUE,"STEEL";#N/A,#N/A,TRUE,"Door"}</definedName>
    <definedName name="__DWG2" localSheetId="0" hidden="1">{#N/A,#N/A,FALSE,"Vessel1 1";#N/A,#N/A,FALSE,"Vessel1 2";#N/A,#N/A,FALSE,"Vessel1 3";#N/A,#N/A,FALSE,"Vessel1 4";#N/A,#N/A,FALSE,"Vessel1 5";#N/A,#N/A,FALSE,"Vessel1 6";#N/A,#N/A,FALSE,"Vessel1 7";#N/A,#N/A,FALSE,"Vessel1 8";#N/A,#N/A,FALSE,"Vessel1 9";#N/A,#N/A,FALSE,"Vessel1 10";#N/A,#N/A,FALSE,"Vessel1 11"}</definedName>
    <definedName name="__DWG2" hidden="1">{#N/A,#N/A,FALSE,"Vessel1 1";#N/A,#N/A,FALSE,"Vessel1 2";#N/A,#N/A,FALSE,"Vessel1 3";#N/A,#N/A,FALSE,"Vessel1 4";#N/A,#N/A,FALSE,"Vessel1 5";#N/A,#N/A,FALSE,"Vessel1 6";#N/A,#N/A,FALSE,"Vessel1 7";#N/A,#N/A,FALSE,"Vessel1 8";#N/A,#N/A,FALSE,"Vessel1 9";#N/A,#N/A,FALSE,"Vessel1 10";#N/A,#N/A,FALSE,"Vessel1 11"}</definedName>
    <definedName name="__L" localSheetId="0" hidden="1">{#N/A,#N/A,FALSE,"Vessel1 1";#N/A,#N/A,FALSE,"Vessel1 2";#N/A,#N/A,FALSE,"Vessel1 3";#N/A,#N/A,FALSE,"Vessel1 4";#N/A,#N/A,FALSE,"Vessel1 5";#N/A,#N/A,FALSE,"Vessel1 6";#N/A,#N/A,FALSE,"Vessel1 7";#N/A,#N/A,FALSE,"Vessel1 8";#N/A,#N/A,FALSE,"Vessel1 9";#N/A,#N/A,FALSE,"Vessel1 10";#N/A,#N/A,FALSE,"Vessel1 11"}</definedName>
    <definedName name="__L" hidden="1">{#N/A,#N/A,FALSE,"Vessel1 1";#N/A,#N/A,FALSE,"Vessel1 2";#N/A,#N/A,FALSE,"Vessel1 3";#N/A,#N/A,FALSE,"Vessel1 4";#N/A,#N/A,FALSE,"Vessel1 5";#N/A,#N/A,FALSE,"Vessel1 6";#N/A,#N/A,FALSE,"Vessel1 7";#N/A,#N/A,FALSE,"Vessel1 8";#N/A,#N/A,FALSE,"Vessel1 9";#N/A,#N/A,FALSE,"Vessel1 10";#N/A,#N/A,FALSE,"Vessel1 11"}</definedName>
    <definedName name="_A1" hidden="1">{#N/A,#N/A,TRUE,"Basic";#N/A,#N/A,TRUE,"EXT-TABLE";#N/A,#N/A,TRUE,"STEEL";#N/A,#N/A,TRUE,"INT-Table";#N/A,#N/A,TRUE,"STEEL";#N/A,#N/A,TRUE,"Door"}</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localSheetId="0" hidden="1">4</definedName>
    <definedName name="_AtRisk_SimSetting_MultipleCPUCount" hidden="1">-1</definedName>
    <definedName name="_AtRisk_SimSetting_MultipleCPUManualCount" hidden="1">4</definedName>
    <definedName name="_AtRisk_SimSetting_MultipleCPUMode" hidden="1">2</definedName>
    <definedName name="_AtRisk_SimSetting_MultipleCPUModeV8" hidden="1">2</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1</definedName>
    <definedName name="_AtRisk_SimSetting_StdRecalcWithoutRiskStaticPercentile" hidden="1">0.5</definedName>
    <definedName name="_DWG2" localSheetId="0" hidden="1">{#N/A,#N/A,FALSE,"Vessel1 1";#N/A,#N/A,FALSE,"Vessel1 2";#N/A,#N/A,FALSE,"Vessel1 3";#N/A,#N/A,FALSE,"Vessel1 4";#N/A,#N/A,FALSE,"Vessel1 5";#N/A,#N/A,FALSE,"Vessel1 6";#N/A,#N/A,FALSE,"Vessel1 7";#N/A,#N/A,FALSE,"Vessel1 8";#N/A,#N/A,FALSE,"Vessel1 9";#N/A,#N/A,FALSE,"Vessel1 10";#N/A,#N/A,FALSE,"Vessel1 11"}</definedName>
    <definedName name="_DWG2" hidden="1">{#N/A,#N/A,FALSE,"Vessel1 1";#N/A,#N/A,FALSE,"Vessel1 2";#N/A,#N/A,FALSE,"Vessel1 3";#N/A,#N/A,FALSE,"Vessel1 4";#N/A,#N/A,FALSE,"Vessel1 5";#N/A,#N/A,FALSE,"Vessel1 6";#N/A,#N/A,FALSE,"Vessel1 7";#N/A,#N/A,FALSE,"Vessel1 8";#N/A,#N/A,FALSE,"Vessel1 9";#N/A,#N/A,FALSE,"Vessel1 10";#N/A,#N/A,FALSE,"Vessel1 11"}</definedName>
    <definedName name="_Fill" hidden="1">#REF!</definedName>
    <definedName name="_Key1" hidden="1">#REF!</definedName>
    <definedName name="_Key2" hidden="1">#REF!</definedName>
    <definedName name="_L" localSheetId="0" hidden="1">{#N/A,#N/A,FALSE,"Vessel1 1";#N/A,#N/A,FALSE,"Vessel1 2";#N/A,#N/A,FALSE,"Vessel1 3";#N/A,#N/A,FALSE,"Vessel1 4";#N/A,#N/A,FALSE,"Vessel1 5";#N/A,#N/A,FALSE,"Vessel1 6";#N/A,#N/A,FALSE,"Vessel1 7";#N/A,#N/A,FALSE,"Vessel1 8";#N/A,#N/A,FALSE,"Vessel1 9";#N/A,#N/A,FALSE,"Vessel1 10";#N/A,#N/A,FALSE,"Vessel1 11"}</definedName>
    <definedName name="_L" hidden="1">{#N/A,#N/A,FALSE,"Vessel1 1";#N/A,#N/A,FALSE,"Vessel1 2";#N/A,#N/A,FALSE,"Vessel1 3";#N/A,#N/A,FALSE,"Vessel1 4";#N/A,#N/A,FALSE,"Vessel1 5";#N/A,#N/A,FALSE,"Vessel1 6";#N/A,#N/A,FALSE,"Vessel1 7";#N/A,#N/A,FALSE,"Vessel1 8";#N/A,#N/A,FALSE,"Vessel1 9";#N/A,#N/A,FALSE,"Vessel1 10";#N/A,#N/A,FALSE,"Vessel1 11"}</definedName>
    <definedName name="_Order1" hidden="1">255</definedName>
    <definedName name="_Order2" hidden="1">255</definedName>
    <definedName name="_Parse_Out" hidden="1">#REF!</definedName>
    <definedName name="_Sort" hidden="1">#REF!</definedName>
    <definedName name="´cAE°eE¹" hidden="1">#REF!</definedName>
    <definedName name="￠￥cAE¡ÆeEⓒo" hidden="1">#REF!</definedName>
    <definedName name="a" localSheetId="0" hidden="1">{#N/A,#N/A,FALSE,"Vessel1 1";#N/A,#N/A,FALSE,"Vessel1 2";#N/A,#N/A,FALSE,"Vessel1 3";#N/A,#N/A,FALSE,"Vessel1 4";#N/A,#N/A,FALSE,"Vessel1 5";#N/A,#N/A,FALSE,"Vessel1 6";#N/A,#N/A,FALSE,"Vessel1 7";#N/A,#N/A,FALSE,"Vessel1 8";#N/A,#N/A,FALSE,"Vessel1 9";#N/A,#N/A,FALSE,"Vessel1 10";#N/A,#N/A,FALSE,"Vessel1 11"}</definedName>
    <definedName name="a" hidden="1">{#N/A,#N/A,FALSE,"Vessel1 1";#N/A,#N/A,FALSE,"Vessel1 2";#N/A,#N/A,FALSE,"Vessel1 3";#N/A,#N/A,FALSE,"Vessel1 4";#N/A,#N/A,FALSE,"Vessel1 5";#N/A,#N/A,FALSE,"Vessel1 6";#N/A,#N/A,FALSE,"Vessel1 7";#N/A,#N/A,FALSE,"Vessel1 8";#N/A,#N/A,FALSE,"Vessel1 9";#N/A,#N/A,FALSE,"Vessel1 10";#N/A,#N/A,FALSE,"Vessel1 11"}</definedName>
    <definedName name="AAA" localSheetId="0" hidden="1">{#N/A,#N/A,FALSE,"Vessel1 1";#N/A,#N/A,FALSE,"Vessel1 2";#N/A,#N/A,FALSE,"Vessel1 3";#N/A,#N/A,FALSE,"Vessel1 4";#N/A,#N/A,FALSE,"Vessel1 5";#N/A,#N/A,FALSE,"Vessel1 6";#N/A,#N/A,FALSE,"Vessel1 7";#N/A,#N/A,FALSE,"Vessel1 8";#N/A,#N/A,FALSE,"Vessel1 9";#N/A,#N/A,FALSE,"Vessel1 10";#N/A,#N/A,FALSE,"Vessel1 11"}</definedName>
    <definedName name="AAA" hidden="1">{#N/A,#N/A,FALSE,"Vessel1 1";#N/A,#N/A,FALSE,"Vessel1 2";#N/A,#N/A,FALSE,"Vessel1 3";#N/A,#N/A,FALSE,"Vessel1 4";#N/A,#N/A,FALSE,"Vessel1 5";#N/A,#N/A,FALSE,"Vessel1 6";#N/A,#N/A,FALSE,"Vessel1 7";#N/A,#N/A,FALSE,"Vessel1 8";#N/A,#N/A,FALSE,"Vessel1 9";#N/A,#N/A,FALSE,"Vessel1 10";#N/A,#N/A,FALSE,"Vessel1 11"}</definedName>
    <definedName name="AAAA" localSheetId="0" hidden="1">{#N/A,#N/A,FALSE,"Vessel1 1";#N/A,#N/A,FALSE,"Vessel1 2";#N/A,#N/A,FALSE,"Vessel1 3";#N/A,#N/A,FALSE,"Vessel1 4";#N/A,#N/A,FALSE,"Vessel1 5";#N/A,#N/A,FALSE,"Vessel1 6";#N/A,#N/A,FALSE,"Vessel1 7";#N/A,#N/A,FALSE,"Vessel1 8";#N/A,#N/A,FALSE,"Vessel1 9";#N/A,#N/A,FALSE,"Vessel1 10";#N/A,#N/A,FALSE,"Vessel1 11"}</definedName>
    <definedName name="AAAA" hidden="1">{#N/A,#N/A,FALSE,"Vessel1 1";#N/A,#N/A,FALSE,"Vessel1 2";#N/A,#N/A,FALSE,"Vessel1 3";#N/A,#N/A,FALSE,"Vessel1 4";#N/A,#N/A,FALSE,"Vessel1 5";#N/A,#N/A,FALSE,"Vessel1 6";#N/A,#N/A,FALSE,"Vessel1 7";#N/A,#N/A,FALSE,"Vessel1 8";#N/A,#N/A,FALSE,"Vessel1 9";#N/A,#N/A,FALSE,"Vessel1 10";#N/A,#N/A,FALSE,"Vessel1 11"}</definedName>
    <definedName name="aaaaa" hidden="1">{#N/A,#N/A,TRUE,"Basic";#N/A,#N/A,TRUE,"EXT-TABLE";#N/A,#N/A,TRUE,"STEEL";#N/A,#N/A,TRUE,"INT-Table";#N/A,#N/A,TRUE,"STEEL";#N/A,#N/A,TRUE,"Door"}</definedName>
    <definedName name="ab" hidden="1">{#N/A,#N/A,TRUE,"Basic";#N/A,#N/A,TRUE,"EXT-TABLE";#N/A,#N/A,TRUE,"STEEL";#N/A,#N/A,TRUE,"INT-Table";#N/A,#N/A,TRUE,"STEEL";#N/A,#N/A,TRUE,"Door"}</definedName>
    <definedName name="abc" hidden="1">{#N/A,#N/A,TRUE,"Basic";#N/A,#N/A,TRUE,"EXT-TABLE";#N/A,#N/A,TRUE,"STEEL";#N/A,#N/A,TRUE,"INT-Table";#N/A,#N/A,TRUE,"STEEL";#N/A,#N/A,TRUE,"Door"}</definedName>
    <definedName name="Afdrukbereik_MI">#REF!</definedName>
    <definedName name="anscount" hidden="1">1</definedName>
    <definedName name="as" localSheetId="0" hidden="1">{#N/A,#N/A,FALSE,"Ejector 1";#N/A,#N/A,FALSE,"Ejector 2"}</definedName>
    <definedName name="as" hidden="1">{#N/A,#N/A,FALSE,"Ejector 1";#N/A,#N/A,FALSE,"Ejector 2"}</definedName>
    <definedName name="BBB" hidden="1">{#N/A,#N/A,FALSE,"Vessel1 1";#N/A,#N/A,FALSE,"Vessel1 2";#N/A,#N/A,FALSE,"Vessel1 3";#N/A,#N/A,FALSE,"Vessel1 4";#N/A,#N/A,FALSE,"Vessel1 5";#N/A,#N/A,FALSE,"Vessel1 6";#N/A,#N/A,FALSE,"Vessel1 7";#N/A,#N/A,FALSE,"Vessel1 8";#N/A,#N/A,FALSE,"Vessel1 9";#N/A,#N/A,FALSE,"Vessel1 10";#N/A,#N/A,FALSE,"Vessel1 11"}</definedName>
    <definedName name="BELL" hidden="1">{#N/A,#N/A,TRUE,"Basic";#N/A,#N/A,TRUE,"EXT-TABLE";#N/A,#N/A,TRUE,"STEEL";#N/A,#N/A,TRUE,"INT-Table";#N/A,#N/A,TRUE,"STEEL";#N/A,#N/A,TRUE,"Door"}</definedName>
    <definedName name="BoutonAnnuler_QuandClic">[2]!BoutonAnnuler_QuandClic</definedName>
    <definedName name="CATEGORY">[3]T11!$C$10:$C$18</definedName>
    <definedName name="CATEGORYT">[3]T11!$C$10:$D$18</definedName>
    <definedName name="Client">'[4]Page 1 - Front Sheet'!$B$27</definedName>
    <definedName name="Concentration">[5]Data!$C$40:$C$50</definedName>
    <definedName name="Contract_List">OFFSET([6]Lists!$D$1,1,0,MAX([6]Lists!$O:$O),1)</definedName>
    <definedName name="cost" hidden="1">{#N/A,#N/A,TRUE,"Basic";#N/A,#N/A,TRUE,"EXT-TABLE";#N/A,#N/A,TRUE,"STEEL";#N/A,#N/A,TRUE,"INT-Table";#N/A,#N/A,TRUE,"STEEL";#N/A,#N/A,TRUE,"Door"}</definedName>
    <definedName name="COST2" hidden="1">{#N/A,#N/A,TRUE,"Basic";#N/A,#N/A,TRUE,"EXT-TABLE";#N/A,#N/A,TRUE,"STEEL";#N/A,#N/A,TRUE,"INT-Table";#N/A,#N/A,TRUE,"STEEL";#N/A,#N/A,TRUE,"Door"}</definedName>
    <definedName name="COVER1" localSheetId="0" hidden="1">{#N/A,#N/A,FALSE,"Ejector 1";#N/A,#N/A,FALSE,"Ejector 2"}</definedName>
    <definedName name="COVER1" hidden="1">{#N/A,#N/A,FALSE,"Ejector 1";#N/A,#N/A,FALSE,"Ejector 2"}</definedName>
    <definedName name="COVER2" localSheetId="0" hidden="1">{#N/A,#N/A,FALSE,"Ejector 1";#N/A,#N/A,FALSE,"Ejector 2"}</definedName>
    <definedName name="COVER2" hidden="1">{#N/A,#N/A,FALSE,"Ejector 1";#N/A,#N/A,FALSE,"Ejector 2"}</definedName>
    <definedName name="cpf" hidden="1">{#N/A,#N/A,TRUE,"Basic";#N/A,#N/A,TRUE,"EXT-TABLE";#N/A,#N/A,TRUE,"STEEL";#N/A,#N/A,TRUE,"INT-Table";#N/A,#N/A,TRUE,"STEEL";#N/A,#N/A,TRUE,"Door"}</definedName>
    <definedName name="DDD" localSheetId="0" hidden="1">{#N/A,#N/A,FALSE,"Vessel1 1";#N/A,#N/A,FALSE,"Vessel1 2";#N/A,#N/A,FALSE,"Vessel1 3";#N/A,#N/A,FALSE,"Vessel1 4";#N/A,#N/A,FALSE,"Vessel1 5";#N/A,#N/A,FALSE,"Vessel1 6";#N/A,#N/A,FALSE,"Vessel1 7";#N/A,#N/A,FALSE,"Vessel1 8";#N/A,#N/A,FALSE,"Vessel1 9";#N/A,#N/A,FALSE,"Vessel1 10";#N/A,#N/A,FALSE,"Vessel1 11"}</definedName>
    <definedName name="DDD" hidden="1">{#N/A,#N/A,FALSE,"Vessel1 1";#N/A,#N/A,FALSE,"Vessel1 2";#N/A,#N/A,FALSE,"Vessel1 3";#N/A,#N/A,FALSE,"Vessel1 4";#N/A,#N/A,FALSE,"Vessel1 5";#N/A,#N/A,FALSE,"Vessel1 6";#N/A,#N/A,FALSE,"Vessel1 7";#N/A,#N/A,FALSE,"Vessel1 8";#N/A,#N/A,FALSE,"Vessel1 9";#N/A,#N/A,FALSE,"Vessel1 10";#N/A,#N/A,FALSE,"Vessel1 11"}</definedName>
    <definedName name="ddddd" hidden="1">{#N/A,#N/A,TRUE,"Basic";#N/A,#N/A,TRUE,"EXT-TABLE";#N/A,#N/A,TRUE,"STEEL";#N/A,#N/A,TRUE,"INT-Table";#N/A,#N/A,TRUE,"STEEL";#N/A,#N/A,TRUE,"Door"}</definedName>
    <definedName name="dddddddddddddd" hidden="1">{#N/A,#N/A,TRUE,"Basic";#N/A,#N/A,TRUE,"EXT-TABLE";#N/A,#N/A,TRUE,"STEEL";#N/A,#N/A,TRUE,"INT-Table";#N/A,#N/A,TRUE,"STEEL";#N/A,#N/A,TRUE,"Door"}</definedName>
    <definedName name="DocNo">'[4]Page 1 - Front Sheet'!$G$36</definedName>
    <definedName name="E" localSheetId="0" hidden="1">{#N/A,#N/A,FALSE,"Vessel1 1";#N/A,#N/A,FALSE,"Vessel1 2";#N/A,#N/A,FALSE,"Vessel1 3";#N/A,#N/A,FALSE,"Vessel1 4";#N/A,#N/A,FALSE,"Vessel1 5";#N/A,#N/A,FALSE,"Vessel1 6";#N/A,#N/A,FALSE,"Vessel1 7";#N/A,#N/A,FALSE,"Vessel1 8";#N/A,#N/A,FALSE,"Vessel1 9";#N/A,#N/A,FALSE,"Vessel1 10";#N/A,#N/A,FALSE,"Vessel1 11"}</definedName>
    <definedName name="E" hidden="1">{#N/A,#N/A,FALSE,"Vessel1 1";#N/A,#N/A,FALSE,"Vessel1 2";#N/A,#N/A,FALSE,"Vessel1 3";#N/A,#N/A,FALSE,"Vessel1 4";#N/A,#N/A,FALSE,"Vessel1 5";#N/A,#N/A,FALSE,"Vessel1 6";#N/A,#N/A,FALSE,"Vessel1 7";#N/A,#N/A,FALSE,"Vessel1 8";#N/A,#N/A,FALSE,"Vessel1 9";#N/A,#N/A,FALSE,"Vessel1 10";#N/A,#N/A,FALSE,"Vessel1 11"}</definedName>
    <definedName name="f" hidden="1">{#N/A,#N/A,FALSE,"Vessel1 1";#N/A,#N/A,FALSE,"Vessel1 2";#N/A,#N/A,FALSE,"Vessel1 3";#N/A,#N/A,FALSE,"Vessel1 4";#N/A,#N/A,FALSE,"Vessel1 5";#N/A,#N/A,FALSE,"Vessel1 6";#N/A,#N/A,FALSE,"Vessel1 7";#N/A,#N/A,FALSE,"Vessel1 8";#N/A,#N/A,FALSE,"Vessel1 9";#N/A,#N/A,FALSE,"Vessel1 10";#N/A,#N/A,FALSE,"Vessel1 11"}</definedName>
    <definedName name="fasfsdfsdfasdfsdfsd" hidden="1">{#N/A,#N/A,TRUE,"Basic";#N/A,#N/A,TRUE,"EXT-TABLE";#N/A,#N/A,TRUE,"STEEL";#N/A,#N/A,TRUE,"INT-Table";#N/A,#N/A,TRUE,"STEEL";#N/A,#N/A,TRUE,"Door"}</definedName>
    <definedName name="fffff" hidden="1">{#N/A,#N/A,TRUE,"Basic";#N/A,#N/A,TRUE,"EXT-TABLE";#N/A,#N/A,TRUE,"STEEL";#N/A,#N/A,TRUE,"INT-Table";#N/A,#N/A,TRUE,"STEEL";#N/A,#N/A,TRUE,"Door"}</definedName>
    <definedName name="FileName">#N/A</definedName>
    <definedName name="fsda" hidden="1">{#N/A,#N/A,TRUE,"Basic";#N/A,#N/A,TRUE,"EXT-TABLE";#N/A,#N/A,TRUE,"STEEL";#N/A,#N/A,TRUE,"INT-Table";#N/A,#N/A,TRUE,"STEEL";#N/A,#N/A,TRUE,"Door"}</definedName>
    <definedName name="Furniture" hidden="1">{#N/A,#N/A,TRUE,"Basic";#N/A,#N/A,TRUE,"EXT-TABLE";#N/A,#N/A,TRUE,"STEEL";#N/A,#N/A,TRUE,"INT-Table";#N/A,#N/A,TRUE,"STEEL";#N/A,#N/A,TRUE,"Door"}</definedName>
    <definedName name="g" localSheetId="0" hidden="1">{#N/A,#N/A,FALSE,"Vessel1 1";#N/A,#N/A,FALSE,"Vessel1 2";#N/A,#N/A,FALSE,"Vessel1 3";#N/A,#N/A,FALSE,"Vessel1 4";#N/A,#N/A,FALSE,"Vessel1 5";#N/A,#N/A,FALSE,"Vessel1 6";#N/A,#N/A,FALSE,"Vessel1 7";#N/A,#N/A,FALSE,"Vessel1 8";#N/A,#N/A,FALSE,"Vessel1 9";#N/A,#N/A,FALSE,"Vessel1 10";#N/A,#N/A,FALSE,"Vessel1 11"}</definedName>
    <definedName name="g" hidden="1">{#N/A,#N/A,FALSE,"Vessel1 1";#N/A,#N/A,FALSE,"Vessel1 2";#N/A,#N/A,FALSE,"Vessel1 3";#N/A,#N/A,FALSE,"Vessel1 4";#N/A,#N/A,FALSE,"Vessel1 5";#N/A,#N/A,FALSE,"Vessel1 6";#N/A,#N/A,FALSE,"Vessel1 7";#N/A,#N/A,FALSE,"Vessel1 8";#N/A,#N/A,FALSE,"Vessel1 9";#N/A,#N/A,FALSE,"Vessel1 10";#N/A,#N/A,FALSE,"Vessel1 11"}</definedName>
    <definedName name="ganttSymbols">[7]Legend!$D$3:$D$6</definedName>
    <definedName name="ganttTypes">[7]Legend!$B$3:$B$4</definedName>
    <definedName name="GASKET">[8]Gasket!$C$4:$C$44</definedName>
    <definedName name="GEG">#REF!</definedName>
    <definedName name="h" localSheetId="0" hidden="1">{#N/A,#N/A,FALSE,"Ejector 1";#N/A,#N/A,FALSE,"Ejector 2"}</definedName>
    <definedName name="h" hidden="1">{#N/A,#N/A,FALSE,"Ejector 1";#N/A,#N/A,FALSE,"Ejector 2"}</definedName>
    <definedName name="HHH" localSheetId="0" hidden="1">{#N/A,#N/A,FALSE,"Vessel1 1";#N/A,#N/A,FALSE,"Vessel1 2";#N/A,#N/A,FALSE,"Vessel1 3";#N/A,#N/A,FALSE,"Vessel1 4";#N/A,#N/A,FALSE,"Vessel1 5";#N/A,#N/A,FALSE,"Vessel1 6";#N/A,#N/A,FALSE,"Vessel1 7";#N/A,#N/A,FALSE,"Vessel1 8";#N/A,#N/A,FALSE,"Vessel1 9";#N/A,#N/A,FALSE,"Vessel1 10";#N/A,#N/A,FALSE,"Vessel1 11"}</definedName>
    <definedName name="HHH" hidden="1">{#N/A,#N/A,FALSE,"Vessel1 1";#N/A,#N/A,FALSE,"Vessel1 2";#N/A,#N/A,FALSE,"Vessel1 3";#N/A,#N/A,FALSE,"Vessel1 4";#N/A,#N/A,FALSE,"Vessel1 5";#N/A,#N/A,FALSE,"Vessel1 6";#N/A,#N/A,FALSE,"Vessel1 7";#N/A,#N/A,FALSE,"Vessel1 8";#N/A,#N/A,FALSE,"Vessel1 9";#N/A,#N/A,FALSE,"Vessel1 10";#N/A,#N/A,FALSE,"Vessel1 11"}</definedName>
    <definedName name="hhhhhhhhhhh" localSheetId="0" hidden="1">{#N/A,#N/A,FALSE,"Vessel1 1";#N/A,#N/A,FALSE,"Vessel1 2";#N/A,#N/A,FALSE,"Vessel1 3";#N/A,#N/A,FALSE,"Vessel1 4";#N/A,#N/A,FALSE,"Vessel1 5";#N/A,#N/A,FALSE,"Vessel1 6";#N/A,#N/A,FALSE,"Vessel1 7";#N/A,#N/A,FALSE,"Vessel1 8";#N/A,#N/A,FALSE,"Vessel1 9";#N/A,#N/A,FALSE,"Vessel1 10";#N/A,#N/A,FALSE,"Vessel1 11"}</definedName>
    <definedName name="hhhhhhhhhhh" hidden="1">{#N/A,#N/A,FALSE,"Vessel1 1";#N/A,#N/A,FALSE,"Vessel1 2";#N/A,#N/A,FALSE,"Vessel1 3";#N/A,#N/A,FALSE,"Vessel1 4";#N/A,#N/A,FALSE,"Vessel1 5";#N/A,#N/A,FALSE,"Vessel1 6";#N/A,#N/A,FALSE,"Vessel1 7";#N/A,#N/A,FALSE,"Vessel1 8";#N/A,#N/A,FALSE,"Vessel1 9";#N/A,#N/A,FALSE,"Vessel1 10";#N/A,#N/A,FALSE,"Vessel1 11"}</definedName>
    <definedName name="hvconnection">[9]Connections!$C$12:$C$14</definedName>
    <definedName name="iii" hidden="1">{#N/A,#N/A,FALSE,"Vessel1 1";#N/A,#N/A,FALSE,"Vessel1 2";#N/A,#N/A,FALSE,"Vessel1 3";#N/A,#N/A,FALSE,"Vessel1 4";#N/A,#N/A,FALSE,"Vessel1 5";#N/A,#N/A,FALSE,"Vessel1 6";#N/A,#N/A,FALSE,"Vessel1 7";#N/A,#N/A,FALSE,"Vessel1 8";#N/A,#N/A,FALSE,"Vessel1 9";#N/A,#N/A,FALSE,"Vessel1 10";#N/A,#N/A,FALSE,"Vessel1 11"}</definedName>
    <definedName name="ILE" localSheetId="0" hidden="1">{#N/A,#N/A,FALSE,"Vessel1 1";#N/A,#N/A,FALSE,"Vessel1 2";#N/A,#N/A,FALSE,"Vessel1 3";#N/A,#N/A,FALSE,"Vessel1 4";#N/A,#N/A,FALSE,"Vessel1 5";#N/A,#N/A,FALSE,"Vessel1 6";#N/A,#N/A,FALSE,"Vessel1 7";#N/A,#N/A,FALSE,"Vessel1 8";#N/A,#N/A,FALSE,"Vessel1 9";#N/A,#N/A,FALSE,"Vessel1 10";#N/A,#N/A,FALSE,"Vessel1 11"}</definedName>
    <definedName name="ILE" hidden="1">{#N/A,#N/A,FALSE,"Vessel1 1";#N/A,#N/A,FALSE,"Vessel1 2";#N/A,#N/A,FALSE,"Vessel1 3";#N/A,#N/A,FALSE,"Vessel1 4";#N/A,#N/A,FALSE,"Vessel1 5";#N/A,#N/A,FALSE,"Vessel1 6";#N/A,#N/A,FALSE,"Vessel1 7";#N/A,#N/A,FALSE,"Vessel1 8";#N/A,#N/A,FALSE,"Vessel1 9";#N/A,#N/A,FALSE,"Vessel1 10";#N/A,#N/A,FALSE,"Vessel1 11"}</definedName>
    <definedName name="Initialisation">#N/A</definedName>
    <definedName name="IPXX">'[9]IP Table'!$C$20:$C$36</definedName>
    <definedName name="K" localSheetId="0" hidden="1">{#N/A,#N/A,FALSE,"Vessel1 1";#N/A,#N/A,FALSE,"Vessel1 2";#N/A,#N/A,FALSE,"Vessel1 3";#N/A,#N/A,FALSE,"Vessel1 4";#N/A,#N/A,FALSE,"Vessel1 5";#N/A,#N/A,FALSE,"Vessel1 6";#N/A,#N/A,FALSE,"Vessel1 7";#N/A,#N/A,FALSE,"Vessel1 8";#N/A,#N/A,FALSE,"Vessel1 9";#N/A,#N/A,FALSE,"Vessel1 10";#N/A,#N/A,FALSE,"Vessel1 11"}</definedName>
    <definedName name="K" hidden="1">{#N/A,#N/A,FALSE,"Vessel1 1";#N/A,#N/A,FALSE,"Vessel1 2";#N/A,#N/A,FALSE,"Vessel1 3";#N/A,#N/A,FALSE,"Vessel1 4";#N/A,#N/A,FALSE,"Vessel1 5";#N/A,#N/A,FALSE,"Vessel1 6";#N/A,#N/A,FALSE,"Vessel1 7";#N/A,#N/A,FALSE,"Vessel1 8";#N/A,#N/A,FALSE,"Vessel1 9";#N/A,#N/A,FALSE,"Vessel1 10";#N/A,#N/A,FALSE,"Vessel1 11"}</definedName>
    <definedName name="KOP">#REF!</definedName>
    <definedName name="list" hidden="1">{#N/A,#N/A,TRUE,"Basic";#N/A,#N/A,TRUE,"EXT-TABLE";#N/A,#N/A,TRUE,"STEEL";#N/A,#N/A,TRUE,"INT-Table";#N/A,#N/A,TRUE,"STEEL";#N/A,#N/A,TRUE,"Door"}</definedName>
    <definedName name="list01" hidden="1">{#N/A,#N/A,TRUE,"Basic";#N/A,#N/A,TRUE,"EXT-TABLE";#N/A,#N/A,TRUE,"STEEL";#N/A,#N/A,TRUE,"INT-Table";#N/A,#N/A,TRUE,"STEEL";#N/A,#N/A,TRUE,"Door"}</definedName>
    <definedName name="list02" hidden="1">{#N/A,#N/A,TRUE,"Basic";#N/A,#N/A,TRUE,"EXT-TABLE";#N/A,#N/A,TRUE,"STEEL";#N/A,#N/A,TRUE,"INT-Table";#N/A,#N/A,TRUE,"STEEL";#N/A,#N/A,TRUE,"Door"}</definedName>
    <definedName name="ListeStatutDocs">'[10]Config Gestion Docs'!$F$10:$F$19</definedName>
    <definedName name="LookUp_Range">[11]Units!$B$3:$CZ$8</definedName>
    <definedName name="LVconnection">[9]Connections!$C$8:$C$9</definedName>
    <definedName name="MP_EQ_002">[12]COVER!$E$21</definedName>
    <definedName name="MP_EQ_003">[12]COVER!$E$22</definedName>
    <definedName name="MP_EQ_004">[12]COVER!$E$23</definedName>
    <definedName name="MP_EQUIPNR">[12]COVER!$E$20</definedName>
    <definedName name="PAGE2" localSheetId="0" hidden="1">{#N/A,#N/A,FALSE,"Ejector 1";#N/A,#N/A,FALSE,"Ejector 2"}</definedName>
    <definedName name="PAGE2" hidden="1">{#N/A,#N/A,FALSE,"Ejector 1";#N/A,#N/A,FALSE,"Ejector 2"}</definedName>
    <definedName name="Pal_Workbook_GUID" localSheetId="0" hidden="1">"WFDXN2A3WQJGIVC4L6ZGLP9H"</definedName>
    <definedName name="Pal_Workbook_GUID" hidden="1">"YQY4TB3SCJQ5AJ5QVMS8YXV3"</definedName>
    <definedName name="PEA" localSheetId="0" hidden="1">{#N/A,#N/A,FALSE,"Vessel1 1";#N/A,#N/A,FALSE,"Vessel1 2";#N/A,#N/A,FALSE,"Vessel1 3";#N/A,#N/A,FALSE,"Vessel1 4";#N/A,#N/A,FALSE,"Vessel1 5";#N/A,#N/A,FALSE,"Vessel1 6";#N/A,#N/A,FALSE,"Vessel1 7";#N/A,#N/A,FALSE,"Vessel1 8";#N/A,#N/A,FALSE,"Vessel1 9";#N/A,#N/A,FALSE,"Vessel1 10";#N/A,#N/A,FALSE,"Vessel1 11"}</definedName>
    <definedName name="PEA" hidden="1">{#N/A,#N/A,FALSE,"Vessel1 1";#N/A,#N/A,FALSE,"Vessel1 2";#N/A,#N/A,FALSE,"Vessel1 3";#N/A,#N/A,FALSE,"Vessel1 4";#N/A,#N/A,FALSE,"Vessel1 5";#N/A,#N/A,FALSE,"Vessel1 6";#N/A,#N/A,FALSE,"Vessel1 7";#N/A,#N/A,FALSE,"Vessel1 8";#N/A,#N/A,FALSE,"Vessel1 9";#N/A,#N/A,FALSE,"Vessel1 10";#N/A,#N/A,FALSE,"Vessel1 11"}</definedName>
    <definedName name="PES" localSheetId="0" hidden="1">{#N/A,#N/A,FALSE,"Vessel1 1";#N/A,#N/A,FALSE,"Vessel1 2";#N/A,#N/A,FALSE,"Vessel1 3";#N/A,#N/A,FALSE,"Vessel1 4";#N/A,#N/A,FALSE,"Vessel1 5";#N/A,#N/A,FALSE,"Vessel1 6";#N/A,#N/A,FALSE,"Vessel1 7";#N/A,#N/A,FALSE,"Vessel1 8";#N/A,#N/A,FALSE,"Vessel1 9";#N/A,#N/A,FALSE,"Vessel1 10";#N/A,#N/A,FALSE,"Vessel1 11"}</definedName>
    <definedName name="PES" hidden="1">{#N/A,#N/A,FALSE,"Vessel1 1";#N/A,#N/A,FALSE,"Vessel1 2";#N/A,#N/A,FALSE,"Vessel1 3";#N/A,#N/A,FALSE,"Vessel1 4";#N/A,#N/A,FALSE,"Vessel1 5";#N/A,#N/A,FALSE,"Vessel1 6";#N/A,#N/A,FALSE,"Vessel1 7";#N/A,#N/A,FALSE,"Vessel1 8";#N/A,#N/A,FALSE,"Vessel1 9";#N/A,#N/A,FALSE,"Vessel1 10";#N/A,#N/A,FALSE,"Vessel1 11"}</definedName>
    <definedName name="PIPPO" localSheetId="0" hidden="1">{#N/A,#N/A,FALSE,"Ejector 1";#N/A,#N/A,FALSE,"Ejector 2"}</definedName>
    <definedName name="PIPPO" hidden="1">{#N/A,#N/A,FALSE,"Ejector 1";#N/A,#N/A,FALSE,"Ejector 2"}</definedName>
    <definedName name="PO" localSheetId="0" hidden="1">{#N/A,#N/A,FALSE,"Ejector 1";#N/A,#N/A,FALSE,"Ejector 2"}</definedName>
    <definedName name="PO" hidden="1">{#N/A,#N/A,FALSE,"Ejector 1";#N/A,#N/A,FALSE,"Ejector 2"}</definedName>
    <definedName name="PRODUCT">'[13]Table 1A'!$B$2:$B$709</definedName>
    <definedName name="PRODUCTB">'[8]Table 3'!$B$2:$B$128</definedName>
    <definedName name="Project">'[4]Page 1 - Front Sheet'!$B$12</definedName>
    <definedName name="prova">#N/A</definedName>
    <definedName name="PSSS" localSheetId="0" hidden="1">{#N/A,#N/A,FALSE,"Vessel1 1";#N/A,#N/A,FALSE,"Vessel1 2";#N/A,#N/A,FALSE,"Vessel1 3";#N/A,#N/A,FALSE,"Vessel1 4";#N/A,#N/A,FALSE,"Vessel1 5";#N/A,#N/A,FALSE,"Vessel1 6";#N/A,#N/A,FALSE,"Vessel1 7";#N/A,#N/A,FALSE,"Vessel1 8";#N/A,#N/A,FALSE,"Vessel1 9";#N/A,#N/A,FALSE,"Vessel1 10";#N/A,#N/A,FALSE,"Vessel1 11"}</definedName>
    <definedName name="PSSS" hidden="1">{#N/A,#N/A,FALSE,"Vessel1 1";#N/A,#N/A,FALSE,"Vessel1 2";#N/A,#N/A,FALSE,"Vessel1 3";#N/A,#N/A,FALSE,"Vessel1 4";#N/A,#N/A,FALSE,"Vessel1 5";#N/A,#N/A,FALSE,"Vessel1 6";#N/A,#N/A,FALSE,"Vessel1 7";#N/A,#N/A,FALSE,"Vessel1 8";#N/A,#N/A,FALSE,"Vessel1 9";#N/A,#N/A,FALSE,"Vessel1 10";#N/A,#N/A,FALSE,"Vessel1 11"}</definedName>
    <definedName name="qqq" hidden="1">{#N/A,#N/A,TRUE,"Basic";#N/A,#N/A,TRUE,"EXT-TABLE";#N/A,#N/A,TRUE,"STEEL";#N/A,#N/A,TRUE,"INT-Table";#N/A,#N/A,TRUE,"STEEL";#N/A,#N/A,TRUE,"Door"}</definedName>
    <definedName name="qqqqq" hidden="1">{#N/A,#N/A,TRUE,"Basic";#N/A,#N/A,TRUE,"EXT-TABLE";#N/A,#N/A,TRUE,"STEEL";#N/A,#N/A,TRUE,"INT-Table";#N/A,#N/A,TRUE,"STEEL";#N/A,#N/A,TRUE,"Door"}</definedName>
    <definedName name="RCO_list">[6]Lists!$F$1:$F$101</definedName>
    <definedName name="RESOURCES">'[14]§3 Rates'!$C$10:$C$17</definedName>
    <definedName name="RESOURCEST">'[14]§3 Rates'!$C$10:$G$17</definedName>
    <definedName name="Responsible_List">OFFSET([6]Lists!$G$1,1,0,MAX([6]Lists!$S:$S),1)</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localSheetId="0" hidden="1">5000</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imulationResultsStorageLocation" hidden="1">"2"</definedName>
    <definedName name="RiskStandardRecalc" hidden="1">0</definedName>
    <definedName name="RiskUpdateDisplay" hidden="1">FALSE</definedName>
    <definedName name="RiskUseDifferentSeedForEachSim" hidden="1">FALSE</definedName>
    <definedName name="RiskUseFixedSeed" hidden="1">FALSE</definedName>
    <definedName name="RiskUseMultipleCPUs" hidden="1">FALSE</definedName>
    <definedName name="SAM" hidden="1">{#N/A,#N/A,TRUE,"Basic";#N/A,#N/A,TRUE,"EXT-TABLE";#N/A,#N/A,TRUE,"STEEL";#N/A,#N/A,TRUE,"INT-Table";#N/A,#N/A,TRUE,"STEEL";#N/A,#N/A,TRUE,"Door"}</definedName>
    <definedName name="sd" localSheetId="0" hidden="1">{#N/A,#N/A,FALSE,"Ejector 1";#N/A,#N/A,FALSE,"Ejector 2"}</definedName>
    <definedName name="sd" hidden="1">{#N/A,#N/A,FALSE,"Ejector 1";#N/A,#N/A,FALSE,"Ejector 2"}</definedName>
    <definedName name="SHELTER" hidden="1">{#N/A,#N/A,TRUE,"Basic";#N/A,#N/A,TRUE,"EXT-TABLE";#N/A,#N/A,TRUE,"STEEL";#N/A,#N/A,TRUE,"INT-Table";#N/A,#N/A,TRUE,"STEEL";#N/A,#N/A,TRUE,"Door"}</definedName>
    <definedName name="SR" hidden="1">#REF!</definedName>
    <definedName name="SSS" localSheetId="0" hidden="1">{#N/A,#N/A,FALSE,"Vessel1 1";#N/A,#N/A,FALSE,"Vessel1 2";#N/A,#N/A,FALSE,"Vessel1 3";#N/A,#N/A,FALSE,"Vessel1 4";#N/A,#N/A,FALSE,"Vessel1 5";#N/A,#N/A,FALSE,"Vessel1 6";#N/A,#N/A,FALSE,"Vessel1 7";#N/A,#N/A,FALSE,"Vessel1 8";#N/A,#N/A,FALSE,"Vessel1 9";#N/A,#N/A,FALSE,"Vessel1 10";#N/A,#N/A,FALSE,"Vessel1 11"}</definedName>
    <definedName name="SSS" hidden="1">{#N/A,#N/A,FALSE,"Vessel1 1";#N/A,#N/A,FALSE,"Vessel1 2";#N/A,#N/A,FALSE,"Vessel1 3";#N/A,#N/A,FALSE,"Vessel1 4";#N/A,#N/A,FALSE,"Vessel1 5";#N/A,#N/A,FALSE,"Vessel1 6";#N/A,#N/A,FALSE,"Vessel1 7";#N/A,#N/A,FALSE,"Vessel1 8";#N/A,#N/A,FALSE,"Vessel1 9";#N/A,#N/A,FALSE,"Vessel1 10";#N/A,#N/A,FALSE,"Vessel1 11"}</definedName>
    <definedName name="ssss" hidden="1">{#N/A,#N/A,TRUE,"Basic";#N/A,#N/A,TRUE,"EXT-TABLE";#N/A,#N/A,TRUE,"STEEL";#N/A,#N/A,TRUE,"INT-Table";#N/A,#N/A,TRUE,"STEEL";#N/A,#N/A,TRUE,"Door"}</definedName>
    <definedName name="sum" hidden="1">{#N/A,#N/A,TRUE,"Basic";#N/A,#N/A,TRUE,"EXT-TABLE";#N/A,#N/A,TRUE,"STEEL";#N/A,#N/A,TRUE,"INT-Table";#N/A,#N/A,TRUE,"STEEL";#N/A,#N/A,TRUE,"Door"}</definedName>
    <definedName name="Suplier_List">OFFSET([6]Lists!$B$1,1,0,MAX([6]Lists!$K:$K),1)</definedName>
    <definedName name="Table">[15]LP!$E$17:$AN$46</definedName>
    <definedName name="table1">[15]LP!$K$17:$AN$46</definedName>
    <definedName name="table2">[15]LP!$D$15:$AO$46</definedName>
    <definedName name="TempC">[5]Data!$E$14:$E$34</definedName>
    <definedName name="test">#N/A</definedName>
    <definedName name="test2">#N/A</definedName>
    <definedName name="TITRE">[16]Titre:Valorisation!$D$2:$I$23</definedName>
    <definedName name="TOT">#REF!</definedName>
    <definedName name="TOTLIJN">#REF!</definedName>
    <definedName name="TY" localSheetId="0" hidden="1">{#N/A,#N/A,FALSE,"Vessel1 1";#N/A,#N/A,FALSE,"Vessel1 2";#N/A,#N/A,FALSE,"Vessel1 3";#N/A,#N/A,FALSE,"Vessel1 4";#N/A,#N/A,FALSE,"Vessel1 5";#N/A,#N/A,FALSE,"Vessel1 6";#N/A,#N/A,FALSE,"Vessel1 7";#N/A,#N/A,FALSE,"Vessel1 8";#N/A,#N/A,FALSE,"Vessel1 9";#N/A,#N/A,FALSE,"Vessel1 10";#N/A,#N/A,FALSE,"Vessel1 11"}</definedName>
    <definedName name="TY" hidden="1">{#N/A,#N/A,FALSE,"Vessel1 1";#N/A,#N/A,FALSE,"Vessel1 2";#N/A,#N/A,FALSE,"Vessel1 3";#N/A,#N/A,FALSE,"Vessel1 4";#N/A,#N/A,FALSE,"Vessel1 5";#N/A,#N/A,FALSE,"Vessel1 6";#N/A,#N/A,FALSE,"Vessel1 7";#N/A,#N/A,FALSE,"Vessel1 8";#N/A,#N/A,FALSE,"Vessel1 9";#N/A,#N/A,FALSE,"Vessel1 10";#N/A,#N/A,FALSE,"Vessel1 11"}</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vffsfs" hidden="1">{#N/A,#N/A,TRUE,"Basic";#N/A,#N/A,TRUE,"EXT-TABLE";#N/A,#N/A,TRUE,"STEEL";#N/A,#N/A,TRUE,"INT-Table";#N/A,#N/A,TRUE,"STEEL";#N/A,#N/A,TRUE,"Door"}</definedName>
    <definedName name="WEI" localSheetId="0" hidden="1">{#N/A,#N/A,FALSE,"Vessel1 1";#N/A,#N/A,FALSE,"Vessel1 2";#N/A,#N/A,FALSE,"Vessel1 3";#N/A,#N/A,FALSE,"Vessel1 4";#N/A,#N/A,FALSE,"Vessel1 5";#N/A,#N/A,FALSE,"Vessel1 6";#N/A,#N/A,FALSE,"Vessel1 7";#N/A,#N/A,FALSE,"Vessel1 8";#N/A,#N/A,FALSE,"Vessel1 9";#N/A,#N/A,FALSE,"Vessel1 10";#N/A,#N/A,FALSE,"Vessel1 11"}</definedName>
    <definedName name="WEI" hidden="1">{#N/A,#N/A,FALSE,"Vessel1 1";#N/A,#N/A,FALSE,"Vessel1 2";#N/A,#N/A,FALSE,"Vessel1 3";#N/A,#N/A,FALSE,"Vessel1 4";#N/A,#N/A,FALSE,"Vessel1 5";#N/A,#N/A,FALSE,"Vessel1 6";#N/A,#N/A,FALSE,"Vessel1 7";#N/A,#N/A,FALSE,"Vessel1 8";#N/A,#N/A,FALSE,"Vessel1 9";#N/A,#N/A,FALSE,"Vessel1 10";#N/A,#N/A,FALSE,"Vessel1 11"}</definedName>
    <definedName name="WEIG" localSheetId="0" hidden="1">{#N/A,#N/A,FALSE,"Vessel1 1";#N/A,#N/A,FALSE,"Vessel1 2";#N/A,#N/A,FALSE,"Vessel1 3";#N/A,#N/A,FALSE,"Vessel1 4";#N/A,#N/A,FALSE,"Vessel1 5";#N/A,#N/A,FALSE,"Vessel1 6";#N/A,#N/A,FALSE,"Vessel1 7";#N/A,#N/A,FALSE,"Vessel1 8";#N/A,#N/A,FALSE,"Vessel1 9";#N/A,#N/A,FALSE,"Vessel1 10";#N/A,#N/A,FALSE,"Vessel1 11"}</definedName>
    <definedName name="WEIG" hidden="1">{#N/A,#N/A,FALSE,"Vessel1 1";#N/A,#N/A,FALSE,"Vessel1 2";#N/A,#N/A,FALSE,"Vessel1 3";#N/A,#N/A,FALSE,"Vessel1 4";#N/A,#N/A,FALSE,"Vessel1 5";#N/A,#N/A,FALSE,"Vessel1 6";#N/A,#N/A,FALSE,"Vessel1 7";#N/A,#N/A,FALSE,"Vessel1 8";#N/A,#N/A,FALSE,"Vessel1 9";#N/A,#N/A,FALSE,"Vessel1 10";#N/A,#N/A,FALSE,"Vessel1 11"}</definedName>
    <definedName name="Winding">[9]Connections!$C$3:$C$5</definedName>
    <definedName name="WORKSHOP" hidden="1">{#N/A,#N/A,TRUE,"Basic";#N/A,#N/A,TRUE,"EXT-TABLE";#N/A,#N/A,TRUE,"STEEL";#N/A,#N/A,TRUE,"INT-Table";#N/A,#N/A,TRUE,"STEEL";#N/A,#N/A,TRUE,"Door"}</definedName>
    <definedName name="wrn.A." localSheetId="0" hidden="1">{#N/A,#N/A,FALSE,"Ejector 1";#N/A,#N/A,FALSE,"Ejector 2"}</definedName>
    <definedName name="wrn.A." hidden="1">{#N/A,#N/A,FALSE,"Ejector 1";#N/A,#N/A,FALSE,"Ejector 2"}</definedName>
    <definedName name="wrn.BM." hidden="1">{#N/A,#N/A,TRUE,"Basic";#N/A,#N/A,TRUE,"EXT-TABLE";#N/A,#N/A,TRUE,"STEEL";#N/A,#N/A,TRUE,"INT-Table";#N/A,#N/A,TRUE,"STEEL";#N/A,#N/A,TRUE,"Door"}</definedName>
    <definedName name="wrn.Equipment._.List." hidden="1">{#N/A,#N/A,TRUE,"COVERSHEET";#N/A,#N/A,TRUE,"LEGEND";#N/A,#N/A,TRUE,"LIST"}</definedName>
    <definedName name="x" localSheetId="0" hidden="1">{#N/A,#N/A,FALSE,"Vessel1 1";#N/A,#N/A,FALSE,"Vessel1 2";#N/A,#N/A,FALSE,"Vessel1 3";#N/A,#N/A,FALSE,"Vessel1 4";#N/A,#N/A,FALSE,"Vessel1 5";#N/A,#N/A,FALSE,"Vessel1 6";#N/A,#N/A,FALSE,"Vessel1 7";#N/A,#N/A,FALSE,"Vessel1 8";#N/A,#N/A,FALSE,"Vessel1 9";#N/A,#N/A,FALSE,"Vessel1 10";#N/A,#N/A,FALSE,"Vessel1 11"}</definedName>
    <definedName name="x" hidden="1">{#N/A,#N/A,FALSE,"Vessel1 1";#N/A,#N/A,FALSE,"Vessel1 2";#N/A,#N/A,FALSE,"Vessel1 3";#N/A,#N/A,FALSE,"Vessel1 4";#N/A,#N/A,FALSE,"Vessel1 5";#N/A,#N/A,FALSE,"Vessel1 6";#N/A,#N/A,FALSE,"Vessel1 7";#N/A,#N/A,FALSE,"Vessel1 8";#N/A,#N/A,FALSE,"Vessel1 9";#N/A,#N/A,FALSE,"Vessel1 10";#N/A,#N/A,FALSE,"Vessel1 11"}</definedName>
    <definedName name="ynkim" hidden="1">{#N/A,#N/A,TRUE,"Basic";#N/A,#N/A,TRUE,"EXT-TABLE";#N/A,#N/A,TRUE,"STEEL";#N/A,#N/A,TRUE,"INT-Table";#N/A,#N/A,TRUE,"STEEL";#N/A,#N/A,TRUE,"Door"}</definedName>
    <definedName name="YUHJSFVHSDJK" hidden="1">{#N/A,#N/A,FALSE,"Vessel1 1";#N/A,#N/A,FALSE,"Vessel1 2";#N/A,#N/A,FALSE,"Vessel1 3";#N/A,#N/A,FALSE,"Vessel1 4";#N/A,#N/A,FALSE,"Vessel1 5";#N/A,#N/A,FALSE,"Vessel1 6";#N/A,#N/A,FALSE,"Vessel1 7";#N/A,#N/A,FALSE,"Vessel1 8";#N/A,#N/A,FALSE,"Vessel1 9";#N/A,#N/A,FALSE,"Vessel1 10";#N/A,#N/A,FALSE,"Vessel1 11"}</definedName>
    <definedName name="ZZZ" localSheetId="0" hidden="1">{#N/A,#N/A,FALSE,"Vessel1 1";#N/A,#N/A,FALSE,"Vessel1 2";#N/A,#N/A,FALSE,"Vessel1 3";#N/A,#N/A,FALSE,"Vessel1 4";#N/A,#N/A,FALSE,"Vessel1 5";#N/A,#N/A,FALSE,"Vessel1 6";#N/A,#N/A,FALSE,"Vessel1 7";#N/A,#N/A,FALSE,"Vessel1 8";#N/A,#N/A,FALSE,"Vessel1 9";#N/A,#N/A,FALSE,"Vessel1 10";#N/A,#N/A,FALSE,"Vessel1 11"}</definedName>
    <definedName name="ZZZ" hidden="1">{#N/A,#N/A,FALSE,"Vessel1 1";#N/A,#N/A,FALSE,"Vessel1 2";#N/A,#N/A,FALSE,"Vessel1 3";#N/A,#N/A,FALSE,"Vessel1 4";#N/A,#N/A,FALSE,"Vessel1 5";#N/A,#N/A,FALSE,"Vessel1 6";#N/A,#N/A,FALSE,"Vessel1 7";#N/A,#N/A,FALSE,"Vessel1 8";#N/A,#N/A,FALSE,"Vessel1 9";#N/A,#N/A,FALSE,"Vessel1 10";#N/A,#N/A,FALSE,"Vessel1 11"}</definedName>
    <definedName name="ㄱ미" hidden="1">{#N/A,#N/A,TRUE,"Basic";#N/A,#N/A,TRUE,"EXT-TABLE";#N/A,#N/A,TRUE,"STEEL";#N/A,#N/A,TRUE,"INT-Table";#N/A,#N/A,TRUE,"STEEL";#N/A,#N/A,TRUE,"Door"}</definedName>
    <definedName name="겉표지" hidden="1">{#N/A,#N/A,TRUE,"Basic";#N/A,#N/A,TRUE,"EXT-TABLE";#N/A,#N/A,TRUE,"STEEL";#N/A,#N/A,TRUE,"INT-Table";#N/A,#N/A,TRUE,"STEEL";#N/A,#N/A,TRUE,"Door"}</definedName>
    <definedName name="김" hidden="1">{#N/A,#N/A,TRUE,"Basic";#N/A,#N/A,TRUE,"EXT-TABLE";#N/A,#N/A,TRUE,"STEEL";#N/A,#N/A,TRUE,"INT-Table";#N/A,#N/A,TRUE,"STEEL";#N/A,#N/A,TRUE,"Door"}</definedName>
    <definedName name="김1" hidden="1">{#N/A,#N/A,TRUE,"Basic";#N/A,#N/A,TRUE,"EXT-TABLE";#N/A,#N/A,TRUE,"STEEL";#N/A,#N/A,TRUE,"INT-Table";#N/A,#N/A,TRUE,"STEEL";#N/A,#N/A,TRUE,"Door"}</definedName>
    <definedName name="김3" hidden="1">{#N/A,#N/A,TRUE,"Basic";#N/A,#N/A,TRUE,"EXT-TABLE";#N/A,#N/A,TRUE,"STEEL";#N/A,#N/A,TRUE,"INT-Table";#N/A,#N/A,TRUE,"STEEL";#N/A,#N/A,TRUE,"Door"}</definedName>
    <definedName name="당초계획" hidden="1">#REF!</definedName>
    <definedName name="산출" hidden="1">#REF!</definedName>
    <definedName name="수" hidden="1">{#N/A,#N/A,TRUE,"Basic";#N/A,#N/A,TRUE,"EXT-TABLE";#N/A,#N/A,TRUE,"STEEL";#N/A,#N/A,TRUE,"INT-Table";#N/A,#N/A,TRUE,"STEEL";#N/A,#N/A,TRUE,"Door"}</definedName>
    <definedName name="표지" hidden="1">{#N/A,#N/A,TRUE,"Basic";#N/A,#N/A,TRUE,"EXT-TABLE";#N/A,#N/A,TRUE,"STEEL";#N/A,#N/A,TRUE,"INT-Table";#N/A,#N/A,TRUE,"STEEL";#N/A,#N/A,TRUE,"Door"}</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8" l="1"/>
  <c r="C6" i="8"/>
  <c r="C5" i="8"/>
  <c r="C4" i="8"/>
  <c r="D7" i="8"/>
  <c r="B7" i="8"/>
  <c r="D6" i="8"/>
  <c r="B6" i="8"/>
  <c r="D5" i="8"/>
  <c r="B5" i="8"/>
  <c r="D4" i="8"/>
  <c r="B4" i="8"/>
  <c r="A6" i="1"/>
  <c r="B9" i="8" l="1"/>
  <c r="C9" i="8"/>
  <c r="D9" i="8"/>
</calcChain>
</file>

<file path=xl/sharedStrings.xml><?xml version="1.0" encoding="utf-8"?>
<sst xmlns="http://schemas.openxmlformats.org/spreadsheetml/2006/main" count="580" uniqueCount="552">
  <si>
    <t>Project XXXX</t>
  </si>
  <si>
    <t>PRISM Resiliency</t>
  </si>
  <si>
    <t>Process Criticality Questionnaire
Strategic Advisory Services</t>
  </si>
  <si>
    <t>Doc. Name:</t>
  </si>
  <si>
    <t>Cross Reference Customer:</t>
  </si>
  <si>
    <t>Customer:</t>
  </si>
  <si>
    <t>Project phase:</t>
  </si>
  <si>
    <t>Issue:</t>
  </si>
  <si>
    <t>Thune Eureka</t>
  </si>
  <si>
    <t>PRISM</t>
  </si>
  <si>
    <t>IFR – Issue For Review</t>
  </si>
  <si>
    <t>Doc. Owner:</t>
  </si>
  <si>
    <t>Task:</t>
  </si>
  <si>
    <t>Revision:</t>
  </si>
  <si>
    <t>Date:</t>
  </si>
  <si>
    <t>CBF</t>
  </si>
  <si>
    <t>IRL</t>
  </si>
  <si>
    <t>0.0</t>
  </si>
  <si>
    <t>Author:</t>
  </si>
  <si>
    <t>Checker:</t>
  </si>
  <si>
    <t>Approbator:</t>
  </si>
  <si>
    <t>Validator:</t>
  </si>
  <si>
    <t>Group - IPS</t>
  </si>
  <si>
    <t>CONFIDENTIAL – Any disclosure of this information is strictly forbidden without PRISM prior authorization</t>
  </si>
  <si>
    <t>www.prism-ips.com</t>
  </si>
  <si>
    <t>PRISM BRAIN: PROCESS CRITICALITY ASSESSMENT</t>
  </si>
  <si>
    <t>PURPOSE:</t>
  </si>
  <si>
    <t>This questionnaire helps us identify which business processes are most critical to assess for risk exposure.</t>
  </si>
  <si>
    <t>Your responses allow us to focus the assessment on areas that matter most to your operations.</t>
  </si>
  <si>
    <t>TIME TO COMPLETE: 30-45 minutes</t>
  </si>
  <si>
    <t>INSTRUCTIONS:</t>
  </si>
  <si>
    <t>1. Complete the COMPANY PROFILE tab first</t>
  </si>
  <si>
    <t>2. For each process in tabs SCOPE A through SCOPE D:</t>
  </si>
  <si>
    <t xml:space="preserve">   - Select 'Applicable' dropdown: Yes / No / Partial</t>
  </si>
  <si>
    <t xml:space="preserve">   - Select 'Criticality' dropdown: CRITICAL / HIGH / MEDIUM / LOW / N/A</t>
  </si>
  <si>
    <t xml:space="preserve">   - Enter estimated daily revenue loss (€) if process fails (for CRITICAL/HIGH only)</t>
  </si>
  <si>
    <t xml:space="preserve">   - Add notes if needed</t>
  </si>
  <si>
    <t>3. Review the SUMMARY tab at the end</t>
  </si>
  <si>
    <t>CRITICALITY RATING SCALE:</t>
  </si>
  <si>
    <t>CRITICAL - Immediate revenue loss or safety risk</t>
  </si>
  <si>
    <t xml:space="preserve">  Examples: Main production line, order fulfillment, payroll systems</t>
  </si>
  <si>
    <t>HIGH - Significant operational impact within 24 hours</t>
  </si>
  <si>
    <t xml:space="preserve">  Examples: Quality control, supplier management, key IT systems</t>
  </si>
  <si>
    <t>MEDIUM - Important but can operate without for 2-3 days</t>
  </si>
  <si>
    <t xml:space="preserve">  Examples: Planning, reporting, some maintenance functions</t>
  </si>
  <si>
    <t>LOW - Nice to have, minimal short-term impact</t>
  </si>
  <si>
    <t xml:space="preserve">  Examples: Strategic planning, marketing campaigns, training programs</t>
  </si>
  <si>
    <t>N/A - Not applicable to our company</t>
  </si>
  <si>
    <t>NEXT STEPS:</t>
  </si>
  <si>
    <t>After completing all tabs, save and return this file to the PRISM team.</t>
  </si>
  <si>
    <t>We will schedule a kick-off call to review your responses and finalize the assessment scope.</t>
  </si>
  <si>
    <t>COMPANY INFORMATION</t>
  </si>
  <si>
    <t>Company Name:</t>
  </si>
  <si>
    <t>Thune Eureka S.A.</t>
  </si>
  <si>
    <t>Industry:</t>
  </si>
  <si>
    <t>Industrial Machinery Manufacturing</t>
  </si>
  <si>
    <t>Annual Revenue (€ million):</t>
  </si>
  <si>
    <t>Number of Employees - Production:</t>
  </si>
  <si>
    <t>Number of Employees - Office/Management:</t>
  </si>
  <si>
    <t>Number of Production Sites:</t>
  </si>
  <si>
    <t>GEOGRAPHIC PRESENCE (Enter Yes/No)</t>
  </si>
  <si>
    <t>Europe:</t>
  </si>
  <si>
    <t>Yes</t>
  </si>
  <si>
    <t>North America:</t>
  </si>
  <si>
    <t>No</t>
  </si>
  <si>
    <t>Asia-Pacific:</t>
  </si>
  <si>
    <t>Latin America:</t>
  </si>
  <si>
    <t>Middle East/Africa:</t>
  </si>
  <si>
    <t>INDUSTRY-SPECIFIC QUESTIONS</t>
  </si>
  <si>
    <t>Production Type (if manufacturing):</t>
  </si>
  <si>
    <t>Discrete</t>
  </si>
  <si>
    <t>Typical production downtime cost (€/hour):</t>
  </si>
  <si>
    <t>Finished goods inventory (days of supply):</t>
  </si>
  <si>
    <t>Just-in-Time operations:</t>
  </si>
  <si>
    <t>CONTACT INFORMATION</t>
  </si>
  <si>
    <t>Name (person completing form):</t>
  </si>
  <si>
    <t>Title:</t>
  </si>
  <si>
    <t>Email:</t>
  </si>
  <si>
    <t>Phone:</t>
  </si>
  <si>
    <t>SCOPE A - Physical Assets</t>
  </si>
  <si>
    <t>Process ID</t>
  </si>
  <si>
    <t>Process Title</t>
  </si>
  <si>
    <t>Applicable?</t>
  </si>
  <si>
    <t>Criticality Level</t>
  </si>
  <si>
    <t>Rationale</t>
  </si>
  <si>
    <t>Daily Revenue Impact (€)</t>
  </si>
  <si>
    <t>1</t>
  </si>
  <si>
    <t>Integrity of buildings and constructions</t>
  </si>
  <si>
    <t xml:space="preserve">  1.1</t>
  </si>
  <si>
    <t xml:space="preserve">  Integrity of service buildings</t>
  </si>
  <si>
    <t xml:space="preserve">  1.2</t>
  </si>
  <si>
    <t xml:space="preserve">  Warehouse Integrity</t>
  </si>
  <si>
    <t xml:space="preserve">  1.3</t>
  </si>
  <si>
    <t xml:space="preserve">  Integrity of industrial buildings</t>
  </si>
  <si>
    <t xml:space="preserve">  1.4</t>
  </si>
  <si>
    <t xml:space="preserve">  Practicality of internal roads</t>
  </si>
  <si>
    <t xml:space="preserve">  1.5</t>
  </si>
  <si>
    <t xml:space="preserve">  Integrity of outdoor areas</t>
  </si>
  <si>
    <t xml:space="preserve">  1.6</t>
  </si>
  <si>
    <t xml:space="preserve">  Integrity of other buildings and structures</t>
  </si>
  <si>
    <t>2</t>
  </si>
  <si>
    <t>Maintenance of storage conditions for raw materials, products and waste</t>
  </si>
  <si>
    <t xml:space="preserve">  2.1</t>
  </si>
  <si>
    <t xml:space="preserve">  Dry stock integrity</t>
  </si>
  <si>
    <t xml:space="preserve">  2.2</t>
  </si>
  <si>
    <t xml:space="preserve">  Fresh produce inventory integrity</t>
  </si>
  <si>
    <t xml:space="preserve">  2.3</t>
  </si>
  <si>
    <t xml:space="preserve">  Frozen food inventory integrity</t>
  </si>
  <si>
    <t xml:space="preserve">  2.4</t>
  </si>
  <si>
    <t xml:space="preserve">  Inventory integrity of hazardous products</t>
  </si>
  <si>
    <t xml:space="preserve">  2.5</t>
  </si>
  <si>
    <t xml:space="preserve">  Maintenance of storage conditions for hazardous waste (toxic, chemical)</t>
  </si>
  <si>
    <t xml:space="preserve">  2.6</t>
  </si>
  <si>
    <t xml:space="preserve">  Maintenance of storage conditions for inert non-hazardous industrial waste (e.g. construction)</t>
  </si>
  <si>
    <t xml:space="preserve">  2.7</t>
  </si>
  <si>
    <t xml:space="preserve">  Maintenance of storage conditions for non-hazardous non-inert industrial waste</t>
  </si>
  <si>
    <t>3</t>
  </si>
  <si>
    <t>Maintenance of working and production conditions</t>
  </si>
  <si>
    <t xml:space="preserve">  3.1</t>
  </si>
  <si>
    <t xml:space="preserve">  Maintaining indoor production conditions</t>
  </si>
  <si>
    <t xml:space="preserve">  3.2</t>
  </si>
  <si>
    <t xml:space="preserve">  Maintaining outdoor production conditions</t>
  </si>
  <si>
    <t xml:space="preserve">  3.3</t>
  </si>
  <si>
    <t xml:space="preserve">  Maintenance of indoor working conditions (employees and contractors on site)</t>
  </si>
  <si>
    <t xml:space="preserve">  3.4</t>
  </si>
  <si>
    <t xml:space="preserve">  Maintaining outdoor working conditions (employees and contractors on site)</t>
  </si>
  <si>
    <t>4</t>
  </si>
  <si>
    <t>Equipment Integrity and Operation</t>
  </si>
  <si>
    <t xml:space="preserve">  4.1</t>
  </si>
  <si>
    <t xml:space="preserve">  On-site network and data centers, other information capture/transmission equipment</t>
  </si>
  <si>
    <t xml:space="preserve">  4.2</t>
  </si>
  <si>
    <t xml:space="preserve">  Power Supply Equipment</t>
  </si>
  <si>
    <t xml:space="preserve">  4.3</t>
  </si>
  <si>
    <t xml:space="preserve">  Mechanical Production Equipment</t>
  </si>
  <si>
    <t xml:space="preserve">  4.4</t>
  </si>
  <si>
    <t xml:space="preserve">  Electronic Production Equipment</t>
  </si>
  <si>
    <t xml:space="preserve">  4.5</t>
  </si>
  <si>
    <t xml:space="preserve">  Refrigeration equipment</t>
  </si>
  <si>
    <t xml:space="preserve">  4.6</t>
  </si>
  <si>
    <t xml:space="preserve">  Water Supply Equipment</t>
  </si>
  <si>
    <t xml:space="preserve">  4.7</t>
  </si>
  <si>
    <t xml:space="preserve">  Water Treatment Equipment</t>
  </si>
  <si>
    <t xml:space="preserve">  4.8</t>
  </si>
  <si>
    <t xml:space="preserve">  Other equipment to be specified</t>
  </si>
  <si>
    <t>5</t>
  </si>
  <si>
    <t>Services provided by the natural assets exploited by the company</t>
  </si>
  <si>
    <t xml:space="preserve">  5.1</t>
  </si>
  <si>
    <t xml:space="preserve">  Agricultural resource development - agriculture</t>
  </si>
  <si>
    <t xml:space="preserve">  5.2</t>
  </si>
  <si>
    <t xml:space="preserve">  Agricultural resource development - livestock</t>
  </si>
  <si>
    <t xml:space="preserve">  5.3</t>
  </si>
  <si>
    <t xml:space="preserve">  Exploitation of aquatic resources - fishery resources, etc.</t>
  </si>
  <si>
    <t xml:space="preserve">  5.4</t>
  </si>
  <si>
    <t xml:space="preserve">  Exploitation of mineral resources</t>
  </si>
  <si>
    <t xml:space="preserve">  5.5</t>
  </si>
  <si>
    <t xml:space="preserve">  Tourism operations (landscape, etc.)</t>
  </si>
  <si>
    <t xml:space="preserve">  5.6</t>
  </si>
  <si>
    <t xml:space="preserve">  Other uses of ecosystems (biomass energy, non-cultivable natural materials, hunting resources, etc.)</t>
  </si>
  <si>
    <t>6</t>
  </si>
  <si>
    <t>Other physical assets operated by the business necessary for its operation</t>
  </si>
  <si>
    <t xml:space="preserve">  6.1</t>
  </si>
  <si>
    <t xml:space="preserve">  Fleet of conventional road vehicles</t>
  </si>
  <si>
    <t xml:space="preserve">  6.2</t>
  </si>
  <si>
    <t xml:space="preserve">  Fleet of other vehicles (specific road vehicles e.g. refrigerated vehicles, construction machinery, boats, etc.)</t>
  </si>
  <si>
    <t xml:space="preserve">  6.3</t>
  </si>
  <si>
    <t xml:space="preserve">  Other physical assets operated by the business necessary for its operation</t>
  </si>
  <si>
    <t>SCOPE B - External Dependencies</t>
  </si>
  <si>
    <t>7</t>
  </si>
  <si>
    <t>Supply Availability and Quality - Direct Scope of Tier 1 Suppliers</t>
  </si>
  <si>
    <t xml:space="preserve">  7.1</t>
  </si>
  <si>
    <t xml:space="preserve">  Suppliers of agricultural, forestry or livestock products</t>
  </si>
  <si>
    <t xml:space="preserve">  7.2</t>
  </si>
  <si>
    <t xml:space="preserve">  Chemical or pharmaceutical suppliers</t>
  </si>
  <si>
    <t xml:space="preserve">  7.3</t>
  </si>
  <si>
    <t xml:space="preserve">  Suppliers of metal or metallurgical or mineral products</t>
  </si>
  <si>
    <t xml:space="preserve">  7.4</t>
  </si>
  <si>
    <t xml:space="preserve">  Suppliers of rubber and plastic products (e.g. packaging)</t>
  </si>
  <si>
    <t xml:space="preserve">  7.5</t>
  </si>
  <si>
    <t xml:space="preserve">  Suppliers of electronic, computer or optical products</t>
  </si>
  <si>
    <t xml:space="preserve">  7.6</t>
  </si>
  <si>
    <t xml:space="preserve">  Various equipment and machine suppliers</t>
  </si>
  <si>
    <t xml:space="preserve">  7.7</t>
  </si>
  <si>
    <t xml:space="preserve">  Intellectual service providers (excluding on-site service providers)</t>
  </si>
  <si>
    <t xml:space="preserve">  7.8</t>
  </si>
  <si>
    <t xml:space="preserve">  Equipment and machinery repair and installation suppliers</t>
  </si>
  <si>
    <t xml:space="preserve">  7.9</t>
  </si>
  <si>
    <t xml:space="preserve">  Suppliers of other manufactured goods</t>
  </si>
  <si>
    <t xml:space="preserve">  Other suppliers to be specified</t>
  </si>
  <si>
    <t>8</t>
  </si>
  <si>
    <t>Product and service opportunities - Direct scope of Tier 1 customers</t>
  </si>
  <si>
    <t xml:space="preserve">  8.1</t>
  </si>
  <si>
    <t xml:space="preserve">  Customers in the agricultural, forestry or livestock products sector</t>
  </si>
  <si>
    <t xml:space="preserve">  8.2</t>
  </si>
  <si>
    <t xml:space="preserve">  Customers in the chemical or pharmaceutical sector</t>
  </si>
  <si>
    <t xml:space="preserve">  8.3</t>
  </si>
  <si>
    <t xml:space="preserve">  Customers in the metallurgical or mineral products sector</t>
  </si>
  <si>
    <t xml:space="preserve">  8.4</t>
  </si>
  <si>
    <t xml:space="preserve">  Customers in the Rubber and Plastics Products Sector</t>
  </si>
  <si>
    <t xml:space="preserve">  8.5</t>
  </si>
  <si>
    <t xml:space="preserve">  Customers in the electronics, computer or optical products sector</t>
  </si>
  <si>
    <t xml:space="preserve">  8.6</t>
  </si>
  <si>
    <t xml:space="preserve">  Customers in the field of various equipment and machines</t>
  </si>
  <si>
    <t xml:space="preserve">  8.7</t>
  </si>
  <si>
    <t xml:space="preserve">  Clients in the intellectual services and services sector</t>
  </si>
  <si>
    <t xml:space="preserve">  8.8</t>
  </si>
  <si>
    <t xml:space="preserve">  Customers in the repair and installation of equipment and machinery</t>
  </si>
  <si>
    <t xml:space="preserve">  8.9</t>
  </si>
  <si>
    <t xml:space="preserve">  Other Manufactured Products Customers</t>
  </si>
  <si>
    <t xml:space="preserve">  Other clients to be specified</t>
  </si>
  <si>
    <t>9</t>
  </si>
  <si>
    <t>Freight supply and distribution - Availability and quality of transport networks</t>
  </si>
  <si>
    <t xml:space="preserve">  9.1</t>
  </si>
  <si>
    <t xml:space="preserve">  Upstream transport to the company - road</t>
  </si>
  <si>
    <t xml:space="preserve">  9.2</t>
  </si>
  <si>
    <t xml:space="preserve">  Upstream transport to the company - air</t>
  </si>
  <si>
    <t xml:space="preserve">  9.3</t>
  </si>
  <si>
    <t xml:space="preserve">  Upstream transport to the company - inland waterway</t>
  </si>
  <si>
    <t xml:space="preserve">  9.4</t>
  </si>
  <si>
    <t xml:space="preserve">  Forward-Shipment to Business - Marine</t>
  </si>
  <si>
    <t xml:space="preserve">  9.5</t>
  </si>
  <si>
    <t xml:space="preserve">  Upstream transport to the company - rail</t>
  </si>
  <si>
    <t xml:space="preserve">  9.6</t>
  </si>
  <si>
    <t xml:space="preserve">  Downstream transport - road</t>
  </si>
  <si>
    <t xml:space="preserve">  9.7</t>
  </si>
  <si>
    <t xml:space="preserve">  Forward-to-business transport - air</t>
  </si>
  <si>
    <t xml:space="preserve">  9.8</t>
  </si>
  <si>
    <t xml:space="preserve">  Downstream transport - inland waterway transport</t>
  </si>
  <si>
    <t xml:space="preserve">  9.9</t>
  </si>
  <si>
    <t xml:space="preserve">  Downstream transport - marine</t>
  </si>
  <si>
    <t xml:space="preserve">  Downstream transport - rail</t>
  </si>
  <si>
    <t xml:space="preserve">  9.11</t>
  </si>
  <si>
    <t xml:space="preserve">  Transport between company sites - road</t>
  </si>
  <si>
    <t xml:space="preserve">  9.12</t>
  </si>
  <si>
    <t xml:space="preserve">  Transportation between company sites - air</t>
  </si>
  <si>
    <t xml:space="preserve">  9.13</t>
  </si>
  <si>
    <t xml:space="preserve">  Transport between company sites - inland waterway</t>
  </si>
  <si>
    <t xml:space="preserve">  9.14</t>
  </si>
  <si>
    <t xml:space="preserve">  Transportation between company sites - maritime</t>
  </si>
  <si>
    <t xml:space="preserve">  9.15</t>
  </si>
  <si>
    <t xml:space="preserve">  Transport between company sites - rail</t>
  </si>
  <si>
    <t xml:space="preserve">  9.16</t>
  </si>
  <si>
    <t xml:space="preserve">  Merchandise Supply and Distribution - Other Modes</t>
  </si>
  <si>
    <t>10</t>
  </si>
  <si>
    <t>Mobility of people (employees and service providers) - Availability and quality of transport networks</t>
  </si>
  <si>
    <t xml:space="preserve">  10.1</t>
  </si>
  <si>
    <t xml:space="preserve">  Commuting: Employees - Truck</t>
  </si>
  <si>
    <t xml:space="preserve">  10.2</t>
  </si>
  <si>
    <t xml:space="preserve">  Home-work travel: on-site service providers - road</t>
  </si>
  <si>
    <t xml:space="preserve">  10.3</t>
  </si>
  <si>
    <t xml:space="preserve">  Commuting: Employees - Rail</t>
  </si>
  <si>
    <t xml:space="preserve">  10.4</t>
  </si>
  <si>
    <t xml:space="preserve">  Commuting: on-site service providers - rail</t>
  </si>
  <si>
    <t xml:space="preserve">  10.5</t>
  </si>
  <si>
    <t xml:space="preserve">  Business - road travel</t>
  </si>
  <si>
    <t xml:space="preserve">  10.6</t>
  </si>
  <si>
    <t xml:space="preserve">  Business travel - rail</t>
  </si>
  <si>
    <t xml:space="preserve">  10.7</t>
  </si>
  <si>
    <t xml:space="preserve">  Business travel - air</t>
  </si>
  <si>
    <t>11</t>
  </si>
  <si>
    <t>Availability and quality of power supply to sites</t>
  </si>
  <si>
    <t xml:space="preserve">  11.1</t>
  </si>
  <si>
    <t xml:space="preserve">  Electricity - Grid Electricity</t>
  </si>
  <si>
    <t xml:space="preserve">  11.2</t>
  </si>
  <si>
    <t xml:space="preserve">  Electricity - Solar self-consumption</t>
  </si>
  <si>
    <t xml:space="preserve">  11.3</t>
  </si>
  <si>
    <t xml:space="preserve">  Electricity - Wind self-consumption</t>
  </si>
  <si>
    <t xml:space="preserve">  11.4</t>
  </si>
  <si>
    <t xml:space="preserve">  Electricity - Other self-consumption (geothermal, on-site generator, etc.)</t>
  </si>
  <si>
    <t>12</t>
  </si>
  <si>
    <t>Availability and quality of gas, steam, heat or cold supply</t>
  </si>
  <si>
    <t xml:space="preserve">  12.1</t>
  </si>
  <si>
    <t xml:space="preserve">  Gas</t>
  </si>
  <si>
    <t xml:space="preserve">  12.2</t>
  </si>
  <si>
    <t xml:space="preserve">  Heat - Produced Off-Site</t>
  </si>
  <si>
    <t xml:space="preserve">  12.3</t>
  </si>
  <si>
    <t xml:space="preserve">  Industrial refrigeration produced off-site</t>
  </si>
  <si>
    <t>13</t>
  </si>
  <si>
    <t>Availability and quality of water supply at sites</t>
  </si>
  <si>
    <t xml:space="preserve">  13.1</t>
  </si>
  <si>
    <t xml:space="preserve">  Water network - water quality</t>
  </si>
  <si>
    <t xml:space="preserve">  13.2</t>
  </si>
  <si>
    <t xml:space="preserve">  Water network - quantity available</t>
  </si>
  <si>
    <t xml:space="preserve">  13.3</t>
  </si>
  <si>
    <t xml:space="preserve">  Groundwater - water quality</t>
  </si>
  <si>
    <t xml:space="preserve">  13.4</t>
  </si>
  <si>
    <t xml:space="preserve">  Groundwater - quantity available</t>
  </si>
  <si>
    <t xml:space="preserve">  13.5</t>
  </si>
  <si>
    <t xml:space="preserve">  Surface water - water quality</t>
  </si>
  <si>
    <t xml:space="preserve">  13.6</t>
  </si>
  <si>
    <t xml:space="preserve">  Surface water - quantity available</t>
  </si>
  <si>
    <t xml:space="preserve">  13.7</t>
  </si>
  <si>
    <t xml:space="preserve">  Other water used (rain, sea, recycled water, etc.) - water quality</t>
  </si>
  <si>
    <t xml:space="preserve">  13.8</t>
  </si>
  <si>
    <t xml:space="preserve">  Other water used (rain, sea, recycled water, etc.)  - quantity available</t>
  </si>
  <si>
    <t>14</t>
  </si>
  <si>
    <t>Availability and quality of telecom and internet networks</t>
  </si>
  <si>
    <t xml:space="preserve">  14.1</t>
  </si>
  <si>
    <t xml:space="preserve">  Availability and quality of telecom and internet networks</t>
  </si>
  <si>
    <t>15</t>
  </si>
  <si>
    <t>Disposal of waste and effluents</t>
  </si>
  <si>
    <t xml:space="preserve">  15.1</t>
  </si>
  <si>
    <t xml:space="preserve">  Industrial wastewater disposal</t>
  </si>
  <si>
    <t xml:space="preserve">  15.2</t>
  </si>
  <si>
    <t xml:space="preserve">  Disposal of hazardous industrial waste (toxic, chemical)</t>
  </si>
  <si>
    <t xml:space="preserve">  15.3</t>
  </si>
  <si>
    <t xml:space="preserve">  Disposal of inert non-hazardous industrial waste (e.g. construction)</t>
  </si>
  <si>
    <t xml:space="preserve">  15.4</t>
  </si>
  <si>
    <t xml:space="preserve">  Disposal of non-hazardous non-inert industrial waste</t>
  </si>
  <si>
    <t xml:space="preserve">  15.5</t>
  </si>
  <si>
    <t xml:space="preserve">  Disposal of other assimilated waste</t>
  </si>
  <si>
    <t>16</t>
  </si>
  <si>
    <t>Financial Operations &amp; Treasury Management</t>
  </si>
  <si>
    <t xml:space="preserve">  16.1</t>
  </si>
  <si>
    <t xml:space="preserve">  Cash management and liquidity planning</t>
  </si>
  <si>
    <t xml:space="preserve">  16.2</t>
  </si>
  <si>
    <t xml:space="preserve">  FX hedging and currency risk management</t>
  </si>
  <si>
    <t xml:space="preserve">  16.3</t>
  </si>
  <si>
    <t xml:space="preserve">  Credit and receivables management</t>
  </si>
  <si>
    <t xml:space="preserve">  16.4</t>
  </si>
  <si>
    <t xml:space="preserve">  Payment processing and payables</t>
  </si>
  <si>
    <t xml:space="preserve">  16.5</t>
  </si>
  <si>
    <t xml:space="preserve">  Financial reporting and consolidation</t>
  </si>
  <si>
    <t xml:space="preserve">  16.6</t>
  </si>
  <si>
    <t xml:space="preserve">  Access to capital markets and banking relationships</t>
  </si>
  <si>
    <t>17</t>
  </si>
  <si>
    <t>Insurance &amp; Risk Transfer Programs</t>
  </si>
  <si>
    <t xml:space="preserve">  17.1</t>
  </si>
  <si>
    <t xml:space="preserve">  Property and casualty insurance</t>
  </si>
  <si>
    <t xml:space="preserve">  17.2</t>
  </si>
  <si>
    <t xml:space="preserve">  Business interruption insurance</t>
  </si>
  <si>
    <t xml:space="preserve">  17.3</t>
  </si>
  <si>
    <t xml:space="preserve">  Cyber insurance and breach coverage</t>
  </si>
  <si>
    <t xml:space="preserve">  17.4</t>
  </si>
  <si>
    <t xml:space="preserve">  Directors &amp; officers (D&amp;O) liability</t>
  </si>
  <si>
    <t xml:space="preserve">  17.5</t>
  </si>
  <si>
    <t xml:space="preserve">  Trade credit insurance</t>
  </si>
  <si>
    <t xml:space="preserve">  17.6</t>
  </si>
  <si>
    <t xml:space="preserve">  Claims management and recovery</t>
  </si>
  <si>
    <t>18</t>
  </si>
  <si>
    <t>Stability of the political, regulatory and socio-economic environment</t>
  </si>
  <si>
    <t xml:space="preserve">  18.1</t>
  </si>
  <si>
    <t xml:space="preserve">  Employment Pool - Availability of Workers (Health, Conflict, etc.)</t>
  </si>
  <si>
    <t xml:space="preserve">  18.2</t>
  </si>
  <si>
    <t xml:space="preserve">  Political, regulatory, socio-economic stability</t>
  </si>
  <si>
    <t>SCOPE C - Value Chain &amp; Strategic</t>
  </si>
  <si>
    <t>19</t>
  </si>
  <si>
    <t>Market relevance of the offer</t>
  </si>
  <si>
    <t xml:space="preserve">  19.1</t>
  </si>
  <si>
    <t xml:space="preserve">  Level of demand in the market</t>
  </si>
  <si>
    <t xml:space="preserve">  19.2</t>
  </si>
  <si>
    <t xml:space="preserve">  Positioning in relation to the competition</t>
  </si>
  <si>
    <t xml:space="preserve">  19.3</t>
  </si>
  <si>
    <t xml:space="preserve">  Quality of products sold over their lifetime</t>
  </si>
  <si>
    <t>20</t>
  </si>
  <si>
    <t>Tier 1 Supplier Value Chain</t>
  </si>
  <si>
    <t xml:space="preserve">  20.1</t>
  </si>
  <si>
    <t xml:space="preserve">  Stability of the political, regulatory and socio-economic environment in the countries/regions where Tier 1 suppliers are active</t>
  </si>
  <si>
    <t xml:space="preserve">  20.2</t>
  </si>
  <si>
    <t xml:space="preserve">  Infrastructure and networks supplying Tier 1 suppliers (transport, energy, water, etc.)</t>
  </si>
  <si>
    <t xml:space="preserve">  20.3</t>
  </si>
  <si>
    <t xml:space="preserve">  Natural assets upstream in the value chain</t>
  </si>
  <si>
    <t xml:space="preserve">  20.4</t>
  </si>
  <si>
    <t xml:space="preserve">  Direct scope (scope A) of the main n-tier suppliers (excluding natural assets)</t>
  </si>
  <si>
    <t xml:space="preserve">  20.5</t>
  </si>
  <si>
    <t xml:space="preserve">  Extended value chain - scope B and C of n-tier suppliers</t>
  </si>
  <si>
    <t>21</t>
  </si>
  <si>
    <t>Tier 1 Customer Value Chain</t>
  </si>
  <si>
    <t xml:space="preserve">  21.1</t>
  </si>
  <si>
    <t xml:space="preserve">  Stability of the political, regulatory and socio-economic environment in the countries/regions where Tier 1 clients are active</t>
  </si>
  <si>
    <t xml:space="preserve">  21.2</t>
  </si>
  <si>
    <t xml:space="preserve">  Infrastructure and networks supplying Tier 1 customers (transport, energy, water, etc.)</t>
  </si>
  <si>
    <t xml:space="preserve">  21.3</t>
  </si>
  <si>
    <t xml:space="preserve">  Natural assets downstream in the value chain</t>
  </si>
  <si>
    <t xml:space="preserve">  21.4</t>
  </si>
  <si>
    <t xml:space="preserve">  Direct scope (scope A) of the main n-tier customers (excluding natural assets)</t>
  </si>
  <si>
    <t xml:space="preserve">  21.5</t>
  </si>
  <si>
    <t xml:space="preserve">  Extended value chain - scope B and C of n-tier customers</t>
  </si>
  <si>
    <t>22</t>
  </si>
  <si>
    <t>Value chain of infrastructures and networks powering the company</t>
  </si>
  <si>
    <t xml:space="preserve">  22.1</t>
  </si>
  <si>
    <t xml:space="preserve">  Value chain (scopes B and C) of the infrastructures and networks supplying the company (transport, energy, water, etc.)</t>
  </si>
  <si>
    <t>23</t>
  </si>
  <si>
    <t>Sales &amp; Commercial Operations</t>
  </si>
  <si>
    <t xml:space="preserve">  23.1</t>
  </si>
  <si>
    <t xml:space="preserve">  Sales pipeline management and forecasting</t>
  </si>
  <si>
    <t xml:space="preserve">  23.2</t>
  </si>
  <si>
    <t xml:space="preserve">  Customer relationship management (CRM)</t>
  </si>
  <si>
    <t xml:space="preserve">  23.3</t>
  </si>
  <si>
    <t xml:space="preserve">  Pricing and revenue management</t>
  </si>
  <si>
    <t xml:space="preserve">  23.4</t>
  </si>
  <si>
    <t xml:space="preserve">  Contract management and negotiations</t>
  </si>
  <si>
    <t xml:space="preserve">  23.5</t>
  </si>
  <si>
    <t xml:space="preserve">  After-sales service and warranty management</t>
  </si>
  <si>
    <t xml:space="preserve">  23.6</t>
  </si>
  <si>
    <t xml:space="preserve">  Order management and fulfillment</t>
  </si>
  <si>
    <t>24</t>
  </si>
  <si>
    <t>Strategic Management &amp; Governance</t>
  </si>
  <si>
    <t xml:space="preserve">  24.1</t>
  </si>
  <si>
    <t xml:space="preserve">  Corporate strategy development and review</t>
  </si>
  <si>
    <t xml:space="preserve">  24.2</t>
  </si>
  <si>
    <t xml:space="preserve">  Mergers, acquisitions, and divestments</t>
  </si>
  <si>
    <t xml:space="preserve">  24.3</t>
  </si>
  <si>
    <t xml:space="preserve">  Board governance and oversight</t>
  </si>
  <si>
    <t xml:space="preserve">  24.4</t>
  </si>
  <si>
    <t xml:space="preserve">  Enterprise risk management framework</t>
  </si>
  <si>
    <t xml:space="preserve">  24.5</t>
  </si>
  <si>
    <t xml:space="preserve">  Stakeholder engagement and communication</t>
  </si>
  <si>
    <t xml:space="preserve">  24.6</t>
  </si>
  <si>
    <t xml:space="preserve">  Crisis management and business continuity planning</t>
  </si>
  <si>
    <t>25</t>
  </si>
  <si>
    <t>Marketing &amp; Brand Management</t>
  </si>
  <si>
    <t xml:space="preserve">  25.1</t>
  </si>
  <si>
    <t xml:space="preserve">  Brand strategy and positioning</t>
  </si>
  <si>
    <t xml:space="preserve">  25.2</t>
  </si>
  <si>
    <t xml:space="preserve">  Marketing campaigns and management</t>
  </si>
  <si>
    <t xml:space="preserve">  25.3</t>
  </si>
  <si>
    <t xml:space="preserve">  Digital marketing and online presence</t>
  </si>
  <si>
    <t xml:space="preserve">  25.4</t>
  </si>
  <si>
    <t xml:space="preserve">  Public relations and corporate communication</t>
  </si>
  <si>
    <t xml:space="preserve">  25.5</t>
  </si>
  <si>
    <t xml:space="preserve">  Reputation management and social media monitoring</t>
  </si>
  <si>
    <t xml:space="preserve">  25.6</t>
  </si>
  <si>
    <t xml:space="preserve">  Market research and customer insights</t>
  </si>
  <si>
    <t>SCOPE D - Internal Operations &amp; Digital</t>
  </si>
  <si>
    <t>26</t>
  </si>
  <si>
    <t>IT Infrastructure &amp; Enterprise Applications</t>
  </si>
  <si>
    <t xml:space="preserve">  26.1</t>
  </si>
  <si>
    <t xml:space="preserve">  ERP Systems (SAP, Oracle, etc.)</t>
  </si>
  <si>
    <t xml:space="preserve">  26.2</t>
  </si>
  <si>
    <t xml:space="preserve">  Manufacturing Execution Systems (MES)</t>
  </si>
  <si>
    <t xml:space="preserve">  26.3</t>
  </si>
  <si>
    <t xml:space="preserve">  Product Lifecycle Management (PLM)</t>
  </si>
  <si>
    <t xml:space="preserve">  26.4</t>
  </si>
  <si>
    <t xml:space="preserve">  Cloud infrastructure and SaaS applications</t>
  </si>
  <si>
    <t xml:space="preserve">  26.5</t>
  </si>
  <si>
    <t xml:space="preserve">  On-premises data centers and servers</t>
  </si>
  <si>
    <t xml:space="preserve">  26.6</t>
  </si>
  <si>
    <t xml:space="preserve">  Network infrastructure (LAN/WAN/SD-WAN)</t>
  </si>
  <si>
    <t xml:space="preserve">  26.7</t>
  </si>
  <si>
    <t xml:space="preserve">  End-user devices and endpoint management</t>
  </si>
  <si>
    <t>27</t>
  </si>
  <si>
    <t>Cybersecurity &amp; Information Security Operations</t>
  </si>
  <si>
    <t xml:space="preserve">  27.1</t>
  </si>
  <si>
    <t xml:space="preserve">  Security Operations Center (SOC) and threat monitoring</t>
  </si>
  <si>
    <t xml:space="preserve">  27.2</t>
  </si>
  <si>
    <t xml:space="preserve">  Identity and Access Management (IAM)</t>
  </si>
  <si>
    <t xml:space="preserve">  27.3</t>
  </si>
  <si>
    <t xml:space="preserve">  Firewall and perimeter security</t>
  </si>
  <si>
    <t xml:space="preserve">  27.4</t>
  </si>
  <si>
    <t xml:space="preserve">  Endpoint protection and anti-malware</t>
  </si>
  <si>
    <t xml:space="preserve">  27.5</t>
  </si>
  <si>
    <t xml:space="preserve">  Backup and disaster recovery systems</t>
  </si>
  <si>
    <t xml:space="preserve">  27.6</t>
  </si>
  <si>
    <t xml:space="preserve">  Security awareness and training programs</t>
  </si>
  <si>
    <t xml:space="preserve">  27.7</t>
  </si>
  <si>
    <t xml:space="preserve">  Incident response and forensics capabilities</t>
  </si>
  <si>
    <t>28</t>
  </si>
  <si>
    <t>Production Operations &amp; Manufacturing Execution</t>
  </si>
  <si>
    <t xml:space="preserve">  28.1</t>
  </si>
  <si>
    <t xml:space="preserve">  Production planning and master scheduling</t>
  </si>
  <si>
    <t xml:space="preserve">  28.2</t>
  </si>
  <si>
    <t xml:space="preserve">  Shop floor execution and process control</t>
  </si>
  <si>
    <t xml:space="preserve">  28.3</t>
  </si>
  <si>
    <t xml:space="preserve">  Work-in-progress (WIP) management</t>
  </si>
  <si>
    <t xml:space="preserve">  28.4</t>
  </si>
  <si>
    <t xml:space="preserve">  Production changeover and setup operations</t>
  </si>
  <si>
    <t xml:space="preserve">  28.5</t>
  </si>
  <si>
    <t xml:space="preserve">  Process monitoring and real-time adjustments</t>
  </si>
  <si>
    <t xml:space="preserve">  28.6</t>
  </si>
  <si>
    <t xml:space="preserve">  Yield optimization and waste reduction</t>
  </si>
  <si>
    <t>29</t>
  </si>
  <si>
    <t>Quality Management &amp; Product Integrity</t>
  </si>
  <si>
    <t xml:space="preserve">  29.1</t>
  </si>
  <si>
    <t xml:space="preserve">  Incoming material inspection</t>
  </si>
  <si>
    <t xml:space="preserve">  29.2</t>
  </si>
  <si>
    <t xml:space="preserve">  In-process quality control and testing</t>
  </si>
  <si>
    <t xml:space="preserve">  29.3</t>
  </si>
  <si>
    <t xml:space="preserve">  Final product inspection and certification</t>
  </si>
  <si>
    <t xml:space="preserve">  29.4</t>
  </si>
  <si>
    <t xml:space="preserve">  Non-conformance management and CAPA</t>
  </si>
  <si>
    <t xml:space="preserve">  29.5</t>
  </si>
  <si>
    <t xml:space="preserve">  Regulatory compliance and audit readiness</t>
  </si>
  <si>
    <t xml:space="preserve">  29.6</t>
  </si>
  <si>
    <t xml:space="preserve">  Product recall and traceability systems</t>
  </si>
  <si>
    <t>30</t>
  </si>
  <si>
    <t>Human Resource Management &amp; Workforce Operations</t>
  </si>
  <si>
    <t xml:space="preserve">  30.1</t>
  </si>
  <si>
    <t xml:space="preserve">  Talent acquisition and recruitment</t>
  </si>
  <si>
    <t xml:space="preserve">  30.2</t>
  </si>
  <si>
    <t xml:space="preserve">  Workforce planning and capacity management</t>
  </si>
  <si>
    <t xml:space="preserve">  30.3</t>
  </si>
  <si>
    <t xml:space="preserve">  Employee training and development</t>
  </si>
  <si>
    <t xml:space="preserve">  30.4</t>
  </si>
  <si>
    <t xml:space="preserve">  Payroll and benefits administration</t>
  </si>
  <si>
    <t xml:space="preserve">  30.5</t>
  </si>
  <si>
    <t xml:space="preserve">  Occupational health and safety programs</t>
  </si>
  <si>
    <t xml:space="preserve">  30.6</t>
  </si>
  <si>
    <t xml:space="preserve">  Labor relations and union negotiations</t>
  </si>
  <si>
    <t xml:space="preserve">  30.7</t>
  </si>
  <si>
    <t xml:space="preserve">  Employee engagement and retention</t>
  </si>
  <si>
    <t xml:space="preserve">  30.8</t>
  </si>
  <si>
    <t xml:space="preserve">  Remote work infrastructure and policies</t>
  </si>
  <si>
    <t>31</t>
  </si>
  <si>
    <t>Product Development &amp; Engineering</t>
  </si>
  <si>
    <t xml:space="preserve">  31.1</t>
  </si>
  <si>
    <t xml:space="preserve">  Research and development (R&amp;D)</t>
  </si>
  <si>
    <t xml:space="preserve">  31.2</t>
  </si>
  <si>
    <t xml:space="preserve">  Product design and prototyping</t>
  </si>
  <si>
    <t xml:space="preserve">  31.3</t>
  </si>
  <si>
    <t xml:space="preserve">  Engineering testing and validation</t>
  </si>
  <si>
    <t xml:space="preserve">  31.4</t>
  </si>
  <si>
    <t xml:space="preserve">  Intellectual property and patent management</t>
  </si>
  <si>
    <t xml:space="preserve">  31.5</t>
  </si>
  <si>
    <t xml:space="preserve">  Process engineering and industrialization</t>
  </si>
  <si>
    <t xml:space="preserve">  31.6</t>
  </si>
  <si>
    <t xml:space="preserve">  Product lifecycle management</t>
  </si>
  <si>
    <t>32</t>
  </si>
  <si>
    <t>Maintenance &amp; Asset Management Operations</t>
  </si>
  <si>
    <t xml:space="preserve">  32.1</t>
  </si>
  <si>
    <t xml:space="preserve">  Preventive maintenance scheduling</t>
  </si>
  <si>
    <t xml:space="preserve">  32.2</t>
  </si>
  <si>
    <t xml:space="preserve">  Predictive maintenance and condition monitoring</t>
  </si>
  <si>
    <t xml:space="preserve">  32.3</t>
  </si>
  <si>
    <t xml:space="preserve">  Breakdown repair and emergency response</t>
  </si>
  <si>
    <t xml:space="preserve">  32.4</t>
  </si>
  <si>
    <t xml:space="preserve">  Spare parts inventory management</t>
  </si>
  <si>
    <t xml:space="preserve">  32.5</t>
  </si>
  <si>
    <t xml:space="preserve">  Maintenance contractor management</t>
  </si>
  <si>
    <t xml:space="preserve">  32.6</t>
  </si>
  <si>
    <t xml:space="preserve">  Asset performance tracking and optimization</t>
  </si>
  <si>
    <t>PROCESS CRITICALITY SUMMARY</t>
  </si>
  <si>
    <t>Scope</t>
  </si>
  <si>
    <t>Total Processes Assessed</t>
  </si>
  <si>
    <t>Critical Processes</t>
  </si>
  <si>
    <t>Total Daily Revenue at Risk (€)</t>
  </si>
  <si>
    <t>A - Physical Assets</t>
  </si>
  <si>
    <t>B - External Dependencies</t>
  </si>
  <si>
    <t>C - Value Chain &amp; Strategic</t>
  </si>
  <si>
    <t>D - Internal Operations &amp; Digital</t>
  </si>
  <si>
    <t>TOTAL</t>
  </si>
  <si>
    <t>KEY INSIGHTS</t>
  </si>
  <si>
    <t>Top 5 Critical Processes:</t>
  </si>
  <si>
    <t>(To be filled manually after completion)</t>
  </si>
  <si>
    <t>1.</t>
  </si>
  <si>
    <t>2.</t>
  </si>
  <si>
    <t>3.</t>
  </si>
  <si>
    <t>4.</t>
  </si>
  <si>
    <t>5.</t>
  </si>
  <si>
    <t>NEXT STEPS</t>
  </si>
  <si>
    <t>□ Review and validate all assessments with Finance and Executive team</t>
  </si>
  <si>
    <t>□ Submit completed questionnaire to IPS PRISM team</t>
  </si>
  <si>
    <t>□ Schedule kick-off meeting for detailed PRISM risk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</si>
</sst>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yyyy\-mm\-dd;@"/>
  </numFmts>
  <fonts count="24" x14ac:knownFonts="1">
    <font>
      <sz val="11"/>
      <color theme="1"/>
      <name val="Calibri"/>
      <family val="2"/>
      <scheme val="minor"/>
    </font>
    <font>
      <b/>
      <sz val="14"/>
      <color rgb="FF1F4E78"/>
      <name val="Calibri"/>
    </font>
    <font>
      <b/>
      <sz val="11"/>
      <color rgb="FF1F4E78"/>
      <name val="Calibri"/>
    </font>
    <font>
      <b/>
      <sz val="12"/>
      <color rgb="FF1F4E78"/>
      <name val="Calibri"/>
    </font>
    <font>
      <b/>
      <sz val="11"/>
      <name val="Calibri"/>
    </font>
    <font>
      <b/>
      <sz val="14"/>
      <color rgb="FFFFFFFF"/>
      <name val="Calibri"/>
    </font>
    <font>
      <b/>
      <sz val="11"/>
      <color rgb="FFFFFFFF"/>
      <name val="Calibri"/>
    </font>
    <font>
      <b/>
      <sz val="11"/>
      <name val="Calibri"/>
    </font>
    <font>
      <sz val="10"/>
      <name val="Calibri"/>
    </font>
    <font>
      <b/>
      <sz val="10"/>
      <name val="Calibri"/>
    </font>
    <font>
      <b/>
      <sz val="16"/>
      <color rgb="FFFFFFFF"/>
      <name val="Calibri"/>
    </font>
    <font>
      <u/>
      <sz val="11"/>
      <color theme="10"/>
      <name val="Calibri"/>
      <family val="2"/>
      <scheme val="minor"/>
    </font>
    <font>
      <sz val="10"/>
      <color theme="1"/>
      <name val="Calibri"/>
      <family val="2"/>
      <scheme val="minor"/>
    </font>
    <font>
      <sz val="11"/>
      <color rgb="FFFF0000"/>
      <name val="Montserrat"/>
    </font>
    <font>
      <b/>
      <sz val="14"/>
      <color rgb="FF085373"/>
      <name val="Montserrat"/>
    </font>
    <font>
      <sz val="10"/>
      <color theme="1"/>
      <name val="Montserrat"/>
    </font>
    <font>
      <sz val="10"/>
      <color theme="1" tint="0.39997558519241921"/>
      <name val="Montserrat"/>
    </font>
    <font>
      <b/>
      <sz val="24"/>
      <color theme="3"/>
      <name val="Cambria"/>
      <family val="2"/>
      <charset val="238"/>
      <scheme val="major"/>
    </font>
    <font>
      <b/>
      <sz val="24"/>
      <color theme="3"/>
      <name val="Montserrat"/>
    </font>
    <font>
      <b/>
      <sz val="18"/>
      <color rgb="FF085373"/>
      <name val="Montserrat"/>
    </font>
    <font>
      <b/>
      <sz val="10"/>
      <color rgb="FF17598A"/>
      <name val="Montserrat"/>
    </font>
    <font>
      <sz val="11"/>
      <color theme="1"/>
      <name val="Montserrat"/>
    </font>
    <font>
      <sz val="10"/>
      <color rgb="FF666666"/>
      <name val="Montserrat"/>
    </font>
    <font>
      <u/>
      <sz val="11"/>
      <color rgb="FF666666"/>
      <name val="Montserrat"/>
    </font>
  </fonts>
  <fills count="7">
    <fill>
      <patternFill patternType="none"/>
    </fill>
    <fill>
      <patternFill patternType="gray125"/>
    </fill>
    <fill>
      <patternFill patternType="solid">
        <fgColor rgb="FF1F4E78"/>
        <bgColor rgb="FF1F4E78"/>
      </patternFill>
    </fill>
    <fill>
      <patternFill patternType="solid">
        <fgColor rgb="FFD9E1F2"/>
        <bgColor rgb="FFD9E1F2"/>
      </patternFill>
    </fill>
    <fill>
      <patternFill patternType="solid">
        <fgColor rgb="FFF2F2F2"/>
        <bgColor rgb="FFF2F2F2"/>
      </patternFill>
    </fill>
    <fill>
      <patternFill patternType="solid">
        <fgColor rgb="FFFFF2CC"/>
        <bgColor rgb="FFFFF2CC"/>
      </patternFill>
    </fill>
    <fill>
      <patternFill patternType="solid">
        <fgColor rgb="FFF3F7F9"/>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4">
    <xf numFmtId="0" fontId="0" fillId="0" borderId="0"/>
    <xf numFmtId="0" fontId="11" fillId="0" borderId="0"/>
    <xf numFmtId="0" fontId="12" fillId="0" borderId="0"/>
    <xf numFmtId="0" fontId="17" fillId="0" borderId="0"/>
  </cellStyleXfs>
  <cellXfs count="47">
    <xf numFmtId="0" fontId="0" fillId="0" borderId="0" xfId="0"/>
    <xf numFmtId="0" fontId="2" fillId="0" borderId="0" xfId="0" applyFont="1"/>
    <xf numFmtId="0" fontId="3" fillId="0" borderId="0" xfId="0" applyFont="1"/>
    <xf numFmtId="0" fontId="6" fillId="2"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7" fillId="3" borderId="1" xfId="0" applyFont="1" applyFill="1" applyBorder="1" applyAlignment="1">
      <alignment horizontal="left" vertical="center"/>
    </xf>
    <xf numFmtId="0" fontId="0" fillId="4" borderId="1" xfId="0" applyFill="1" applyBorder="1" applyAlignment="1">
      <alignment horizontal="center" vertical="center"/>
    </xf>
    <xf numFmtId="0" fontId="0" fillId="4" borderId="1" xfId="0" applyFill="1" applyBorder="1" applyAlignment="1">
      <alignment horizontal="left" vertical="center"/>
    </xf>
    <xf numFmtId="0" fontId="4" fillId="3" borderId="1" xfId="0" applyFont="1" applyFill="1" applyBorder="1"/>
    <xf numFmtId="1" fontId="0" fillId="0" borderId="0" xfId="0" applyNumberFormat="1"/>
    <xf numFmtId="164" fontId="0" fillId="0" borderId="0" xfId="0" applyNumberFormat="1"/>
    <xf numFmtId="1" fontId="4" fillId="3" borderId="1" xfId="0" applyNumberFormat="1" applyFont="1" applyFill="1" applyBorder="1"/>
    <xf numFmtId="164" fontId="4" fillId="3" borderId="1" xfId="0" applyNumberFormat="1" applyFont="1" applyFill="1" applyBorder="1"/>
    <xf numFmtId="0" fontId="1" fillId="0" borderId="0" xfId="0" applyFont="1"/>
    <xf numFmtId="0" fontId="8" fillId="0" borderId="0" xfId="0" applyFont="1"/>
    <xf numFmtId="0" fontId="9" fillId="0" borderId="0" xfId="0" applyFont="1"/>
    <xf numFmtId="0" fontId="8" fillId="5" borderId="0" xfId="0" applyFont="1" applyFill="1"/>
    <xf numFmtId="0" fontId="10" fillId="2" borderId="0" xfId="0" applyFont="1" applyFill="1" applyAlignment="1">
      <alignment horizontal="center" vertical="center"/>
    </xf>
    <xf numFmtId="0" fontId="13" fillId="0" borderId="0" xfId="2" applyFont="1" applyAlignment="1">
      <alignment horizontal="center" vertical="center"/>
    </xf>
    <xf numFmtId="0" fontId="15" fillId="0" borderId="0" xfId="2" applyFont="1" applyAlignment="1">
      <alignment horizontal="center"/>
    </xf>
    <xf numFmtId="0" fontId="12" fillId="0" borderId="0" xfId="2"/>
    <xf numFmtId="0" fontId="16" fillId="0" borderId="0" xfId="2" applyFont="1" applyAlignment="1">
      <alignment horizontal="center" vertical="center"/>
    </xf>
    <xf numFmtId="0" fontId="16" fillId="0" borderId="0" xfId="2" applyFont="1" applyAlignment="1">
      <alignment horizontal="center"/>
    </xf>
    <xf numFmtId="0" fontId="16" fillId="0" borderId="0" xfId="2" applyFont="1"/>
    <xf numFmtId="0" fontId="22" fillId="0" borderId="0" xfId="2" applyFont="1"/>
    <xf numFmtId="0" fontId="15" fillId="0" borderId="0" xfId="2" applyFont="1"/>
    <xf numFmtId="0" fontId="23" fillId="0" borderId="0" xfId="1" applyFont="1" applyAlignment="1">
      <alignment horizontal="right"/>
    </xf>
    <xf numFmtId="0" fontId="15" fillId="0" borderId="0" xfId="2" applyFont="1" applyAlignment="1">
      <alignment horizontal="center" vertical="center"/>
    </xf>
    <xf numFmtId="0" fontId="15" fillId="0" borderId="0" xfId="2" applyFont="1"/>
    <xf numFmtId="0" fontId="16" fillId="0" borderId="0" xfId="2" applyFont="1" applyAlignment="1">
      <alignment horizontal="center" vertical="center"/>
    </xf>
    <xf numFmtId="0" fontId="20" fillId="0" borderId="0" xfId="2" applyFont="1" applyAlignment="1">
      <alignment horizontal="left" vertical="center"/>
    </xf>
    <xf numFmtId="49" fontId="15" fillId="6" borderId="0" xfId="2" applyNumberFormat="1" applyFont="1" applyFill="1" applyAlignment="1">
      <alignment horizontal="center" vertical="center"/>
    </xf>
    <xf numFmtId="165" fontId="15" fillId="6" borderId="0" xfId="2" applyNumberFormat="1" applyFont="1" applyFill="1" applyAlignment="1">
      <alignment horizontal="center" vertical="center"/>
    </xf>
    <xf numFmtId="165" fontId="21" fillId="6" borderId="0" xfId="2" applyNumberFormat="1" applyFont="1" applyFill="1" applyAlignment="1">
      <alignment horizontal="center" vertical="center"/>
    </xf>
    <xf numFmtId="0" fontId="15" fillId="6" borderId="0" xfId="2" applyFont="1" applyFill="1" applyAlignment="1">
      <alignment horizontal="center" vertical="center"/>
    </xf>
    <xf numFmtId="0" fontId="15" fillId="0" borderId="0" xfId="2" applyFont="1" applyAlignment="1">
      <alignment horizontal="center"/>
    </xf>
    <xf numFmtId="0" fontId="13" fillId="0" borderId="0" xfId="2" applyFont="1" applyAlignment="1">
      <alignment horizontal="center" vertical="center"/>
    </xf>
    <xf numFmtId="0" fontId="19" fillId="0" borderId="0" xfId="3" applyFont="1" applyAlignment="1">
      <alignment horizontal="center" vertical="center" wrapText="1"/>
    </xf>
    <xf numFmtId="0" fontId="15" fillId="6" borderId="0" xfId="2" applyFont="1" applyFill="1" applyAlignment="1">
      <alignment horizontal="left" vertical="center" wrapText="1"/>
    </xf>
    <xf numFmtId="0" fontId="18" fillId="0" borderId="0" xfId="3" applyFont="1" applyAlignment="1">
      <alignment horizontal="center" vertical="center" wrapText="1"/>
    </xf>
    <xf numFmtId="0" fontId="16" fillId="0" borderId="0" xfId="2" applyFont="1" applyAlignment="1">
      <alignment horizontal="center"/>
    </xf>
    <xf numFmtId="0" fontId="15" fillId="6" borderId="0" xfId="2" applyFont="1" applyFill="1" applyAlignment="1">
      <alignment horizontal="left" vertical="center"/>
    </xf>
    <xf numFmtId="0" fontId="14" fillId="0" borderId="0" xfId="2" applyFont="1" applyAlignment="1">
      <alignment horizontal="center"/>
    </xf>
    <xf numFmtId="0" fontId="5" fillId="2" borderId="0" xfId="0" applyFont="1" applyFill="1" applyAlignment="1">
      <alignment horizontal="center"/>
    </xf>
    <xf numFmtId="0" fontId="0" fillId="0" borderId="0" xfId="0"/>
    <xf numFmtId="0" fontId="1" fillId="0" borderId="0" xfId="0" applyFont="1"/>
    <xf numFmtId="0" fontId="5" fillId="2" borderId="2" xfId="0" applyFont="1" applyFill="1" applyBorder="1" applyAlignment="1">
      <alignment horizontal="center" vertical="center"/>
    </xf>
  </cellXfs>
  <cellStyles count="4">
    <cellStyle name="Hyperlink" xfId="1" builtinId="8"/>
    <cellStyle name="Normal" xfId="0" builtinId="0"/>
    <cellStyle name="Normal 3 3" xfId="2" xr:uid="{00000000-0005-0000-0000-000002000000}"/>
    <cellStyle name="Title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1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externalLink" Target="externalLinks/externalLink16.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calcChain" Target="calcChain.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533400</xdr:colOff>
      <xdr:row>0</xdr:row>
      <xdr:rowOff>57150</xdr:rowOff>
    </xdr:from>
    <xdr:to>
      <xdr:col>11</xdr:col>
      <xdr:colOff>505460</xdr:colOff>
      <xdr:row>1</xdr:row>
      <xdr:rowOff>81280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667250" y="57150"/>
          <a:ext cx="2334260" cy="300355"/>
        </a:xfrm>
        <a:prstGeom prst="rect">
          <a:avLst/>
        </a:prstGeom>
        <a:noFill/>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980;&#51116;&#50672;\aproject\skec\TDI\BM\TDIBM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argillonline.sharepoint.com/Mes%20documents/K2/H2SOR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groupips.sharepoint.com/Work%20PTG/EMPI/Work/Projets%20Commerciaux/EM0060/OFFRE%20PRESENTATION/MN-3/MN-3-7-%20Bordereau%20des%20Prix%20Engineering%20(EM0060-MN-ETG-10307-0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etrofiler\PI-06005\Projects\JU-05690%20BGTL%20Hasdrubal%20FEED\6.0%20ENGINEERING\6.2%20Mechanical\Data%20Sheets\Rev%20A\JU-05690-HST-DTS-M-2016%20Rev%20A%20(Data%20Sheet%20for%20Regen%20Gas%20Cool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eips-server\svr\Amine%20LAHYANI\FM200\FM200-Calculato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Beips-server\svr\01_Activity\06_Projects\O1506_Comet%20traitements%20BioLix\06.%20Documents\6.04.%20Budget%20file\O1506_6.04_Approbation_Factures_181123_SLN.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groupips.sharepoint.com/Users/ASUS/AppData/Local/Temp/Rar$DIa9496.42051/gantt-chart-project-management-template.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groupips.sharepoint.com/Work/Bureau%20Engineering/Research/Piping/Calculation%20Notes/Flanges/Welding%20Neck%20Flange%20Check%20(Spiral%20Woun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groupips.sharepoint.com/Work/Bureau%20Engineering/Projets%20Techniques/ET0059/Revision%2000/Data%20Sheet%20(Revision%2000)/D05-%20Transformer%20Data%20Sheet%20(ET0059-DS-EL-40005-0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groupips.sharepoint.com/sites/O1928DNAproteins/Shared%20Documents/06.%20Documents/11.%20Engineering/21.%20Mech,%20Pip,%20Elec,%20Instrum%20and%20Autom%20Works/21.10%20Expediting/GME%20Deliverables%20List.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Petrofiler\PI-06005\Projects\JI-167%20QP%20-%20RAG%20Utilisation%20Project\5.0%20DELIVERABLES\5.1%20Engineering%20Documents\5.1.2%20Mechanical\5.1.2.5%20Data%20Sheets\Rev%203\api6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Wksrw2007\Users%20My%20Documents\dixonr\air%20cooler.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groupips.sharepoint.com/Work/Bureau%20Engineering/Research/Piping/Calculation%20Notes/Pipe%20Wall%20Thickness%20Calculation%20Based%20on%20Internal%20Pressure.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groupips.sharepoint.com/sites/IAPS/Growth/Quotation%20Library/EM2453/OFFRE%20PRESENTATION/MN-1-1-%20Technical%20and%20Commercial%20Proposal%20(EM2453-MN-ETG-101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groupips.sharepoint.com/DOCUME~1/SIP006~1/LOCALS~1/Temp/refreence/HAZIRA%20BDEP/EQUIPMENT%20CONSULT/HEATERS/DATASHEET/enthalpique.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K:\DOCUME~1\BCHEVA~1\LOCALS~1\Temp\notesEA312D\Sanofi%20Pasteur%20V16%20APD%20r&#233;v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BM"/>
      <sheetName val="DRUM"/>
      <sheetName val="표지"/>
      <sheetName val="EQUIPMENT"/>
      <sheetName val="HO ENG MH CAL"/>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Eq. Mobilization"/>
      <sheetName val="MAN-Sch"/>
      <sheetName val="h-013211-2"/>
      <sheetName val="고압수량(철거)"/>
      <sheetName val="INSTR"/>
      <sheetName val="공문"/>
      <sheetName val="INPUT DATA"/>
      <sheetName val="CAT_5"/>
      <sheetName val="#REF"/>
      <sheetName val="산근"/>
      <sheetName val="DATA"/>
      <sheetName val="7.2세부 부하계산서"/>
      <sheetName val="PRC_BDWN-95"/>
      <sheetName val="jobhist"/>
      <sheetName val="Factor"/>
      <sheetName val=" 갑지"/>
      <sheetName val="DHEQSUPT"/>
      <sheetName val="HO_ENG_MH_CAL"/>
      <sheetName val="7_2세부_부하계산서"/>
      <sheetName val="INPUT_DATA"/>
      <sheetName val="내역서"/>
      <sheetName val="Condition"/>
      <sheetName val="대비표"/>
      <sheetName val="BQMPALOC"/>
      <sheetName val="COVER-P"/>
      <sheetName val="집계표(OPTION)"/>
      <sheetName val="기계내역서"/>
      <sheetName val="운반"/>
      <sheetName val="TDIBM1"/>
      <sheetName val="Base_Data"/>
      <sheetName val="ITB COST"/>
      <sheetName val="CIVIL BOQ"/>
      <sheetName val="RAW COST SUMMARY"/>
      <sheetName val="BLDG BOQ"/>
      <sheetName val="rate analyses"/>
      <sheetName val="EQ Total"/>
      <sheetName val="목표세부명세"/>
      <sheetName val="UG_BOM"/>
      <sheetName val="PBS"/>
      <sheetName val="PRC-SUM"/>
      <sheetName val="costing_CV"/>
      <sheetName val="eq_data"/>
      <sheetName val="PUMP_SHT"/>
      <sheetName val="costing_ESDV"/>
      <sheetName val="costing_FE"/>
      <sheetName val="General_Data"/>
      <sheetName val="costing_Misc"/>
      <sheetName val="costing_MOV"/>
      <sheetName val="costing_Press"/>
      <sheetName val="3004-2"/>
      <sheetName val="_갑지1"/>
      <sheetName val="CAL"/>
      <sheetName val="TABLE"/>
      <sheetName val="DB@Acess"/>
      <sheetName val="Civil"/>
      <sheetName val="Total"/>
      <sheetName val="Price Detail"/>
      <sheetName val="Settings"/>
      <sheetName val="DS Oil System"/>
      <sheetName val="Al-Suwaidi"/>
      <sheetName val="Sheet1"/>
      <sheetName val="노임 단가"/>
      <sheetName val="M 11"/>
      <sheetName val="PIPING"/>
      <sheetName val="insulation"/>
      <sheetName val="Sheet4"/>
      <sheetName val="PIPE"/>
      <sheetName val="LABCOST"/>
      <sheetName val="footing"/>
      <sheetName val="HO_ENG_MH_CAL1"/>
      <sheetName val="7_2세부_부하계산서1"/>
      <sheetName val="INPUT_DATA1"/>
      <sheetName val="Eq__Mobilization"/>
      <sheetName val="단가(자재)"/>
      <sheetName val="단가(노임)"/>
      <sheetName val="기초목록"/>
      <sheetName val="CASH"/>
      <sheetName val="parts-V2"/>
      <sheetName val="REINF."/>
      <sheetName val="SKETCH"/>
      <sheetName val="BOQ"/>
      <sheetName val="KP1590_E"/>
      <sheetName val="Eq__Mobilization1"/>
      <sheetName val="BLDG_DCI"/>
      <sheetName val="BLDG_MCI"/>
      <sheetName val="일위대가"/>
      <sheetName val="plan&amp;section of foundation"/>
      <sheetName val="pile bearing capa &amp; arrenge"/>
      <sheetName val="design load"/>
      <sheetName val="working load at the btm ft."/>
      <sheetName val="stability check"/>
      <sheetName val="design criteria"/>
      <sheetName val="갑지"/>
      <sheetName val="PIPE도장"/>
      <sheetName val="2.배관"/>
      <sheetName val="Pjt Data"/>
      <sheetName val="PROCURE"/>
      <sheetName val="PRO_DCI"/>
      <sheetName val="INST_DCI"/>
      <sheetName val="HVAC_DCI"/>
      <sheetName val="PIPE_DCI"/>
      <sheetName val="수량증감대비표"/>
      <sheetName val="수량산출1"/>
      <sheetName val="수량산출2"/>
      <sheetName val="수량산출3"/>
      <sheetName val="수량산출4"/>
      <sheetName val="PIPE (SG)-발수"/>
      <sheetName val="E45(SG)-발수"/>
      <sheetName val="E90(SG)-발수"/>
      <sheetName val="sum"/>
      <sheetName val="_갑지"/>
      <sheetName val="ITB_COST"/>
      <sheetName val="CIVIL_BOQ"/>
      <sheetName val="RAW_COST_SUMMARY"/>
      <sheetName val="BLDG_BOQ"/>
      <sheetName val="rate_analyses"/>
      <sheetName val="lookup"/>
      <sheetName val="AOP Summary-2"/>
      <sheetName val="Code"/>
      <sheetName val="calc"/>
      <sheetName val="Proposal"/>
      <sheetName val="부표총괄"/>
      <sheetName val="cable-data"/>
      <sheetName val="B"/>
      <sheetName val="공사비증감"/>
      <sheetName val="원본"/>
      <sheetName val="CABLE"/>
      <sheetName val="도"/>
      <sheetName val="BID"/>
      <sheetName val="Macro"/>
      <sheetName val="Taux"/>
      <sheetName val="ANA&amp;DESIGN&amp;REINF ."/>
      <sheetName val="PRIMARY LOAD"/>
      <sheetName val="DIMENSION"/>
      <sheetName val="EXT.CHECK"/>
      <sheetName val="SUMMARY"/>
      <sheetName val="공사비예산서(토목분)"/>
      <sheetName val="집계표"/>
      <sheetName val="할증 "/>
      <sheetName val="내역"/>
      <sheetName val="상반기손익차2총괄"/>
      <sheetName val="공사비 분석표"/>
      <sheetName val="D-623D"/>
      <sheetName val="뜃맟뭁돽띿맟?-BLDG"/>
      <sheetName val="F4-F7"/>
      <sheetName val="TYPE-B 평균H"/>
      <sheetName val="TTL"/>
      <sheetName val="Default"/>
      <sheetName val="월별"/>
      <sheetName val="DATA1"/>
      <sheetName val="trf(36%)"/>
      <sheetName val="Prioriry"/>
      <sheetName val="피벗테이블"/>
      <sheetName val="Cash2"/>
      <sheetName val="Z"/>
      <sheetName val="95삼성급(본사)"/>
      <sheetName val="OIL SYST DATA SHTS"/>
      <sheetName val="Compressors"/>
      <sheetName val="금융비용"/>
      <sheetName val="MEXICO-C"/>
      <sheetName val="FitOutConfCentre"/>
      <sheetName val="기준"/>
      <sheetName val="연돌일위집계"/>
      <sheetName val="금액내역서"/>
      <sheetName val="전기공사"/>
      <sheetName val="Food court "/>
      <sheetName val="무시"/>
      <sheetName val="9-1차이내역"/>
      <sheetName val="97 사업추정(WEKI)"/>
      <sheetName val="손익차9월2"/>
      <sheetName val="회사99"/>
      <sheetName val="주관사업"/>
      <sheetName val="A"/>
      <sheetName val="노원열병합  건축공사기성내역서"/>
      <sheetName val="K"/>
      <sheetName val="BACK DATA"/>
      <sheetName val="영업소실적"/>
      <sheetName val="IT-BAT"/>
      <sheetName val="TOEC"/>
      <sheetName val="을지"/>
      <sheetName val="세금자료"/>
      <sheetName val="사업부배부A"/>
      <sheetName val="직원동원계획"/>
      <sheetName val="인원계획"/>
      <sheetName val="요약배부"/>
      <sheetName val="수입"/>
      <sheetName val="WBS"/>
      <sheetName val="Inst_Type"/>
      <sheetName val="Loop Type"/>
      <sheetName val="인사자료총집계"/>
      <sheetName val="LENTH"/>
      <sheetName val="Import"/>
      <sheetName val="간접비 총괄표"/>
      <sheetName val="MAN-STD"/>
      <sheetName val="Resource table"/>
      <sheetName val="Invoice (Summary)"/>
      <sheetName val="Invoice (IBL)"/>
      <sheetName val="Invoice (OBL)"/>
      <sheetName val="HO_ENG_MH_CAL2"/>
      <sheetName val="7_2세부_부하계산서2"/>
      <sheetName val="INPUT_DATA2"/>
      <sheetName val="_갑지2"/>
      <sheetName val="EQ_Total"/>
      <sheetName val="CIVIL_BOQ1"/>
      <sheetName val="RAW_COST_SUMMARY1"/>
      <sheetName val="BLDG_BOQ1"/>
      <sheetName val="rate_analyses1"/>
      <sheetName val="Price_Detail"/>
      <sheetName val="DS_Oil_System"/>
      <sheetName val="ITB_COST1"/>
      <sheetName val="노임_단가"/>
      <sheetName val="AOP_Summary-2"/>
      <sheetName val="Pjt_Data"/>
      <sheetName val="plan&amp;section_of_foundation"/>
      <sheetName val="pile_bearing_capa_&amp;_arrenge"/>
      <sheetName val="design_load"/>
      <sheetName val="working_load_at_the_btm_ft_"/>
      <sheetName val="stability_check"/>
      <sheetName val="design_criteria"/>
      <sheetName val="2_배관"/>
      <sheetName val="[TDIBM1.X೺_x0000_ഈ_x0000__x0000__x0000__x0000__x0000_G_MH_CAL"/>
      <sheetName val="말뚝지지력산정"/>
      <sheetName val="SG"/>
      <sheetName val="Sheet6"/>
      <sheetName val="골조시행"/>
      <sheetName val="March"/>
      <sheetName val="SYS_DB"/>
      <sheetName val="실행(1)"/>
      <sheetName val="CB"/>
      <sheetName val="LEGEND"/>
      <sheetName val="Rate Analysis"/>
      <sheetName val="뜃맟뭁돽띿맟_-BLDG"/>
      <sheetName val="3.Breakdown Direct Instrument"/>
      <sheetName val="Inside building Summary"/>
      <sheetName val="L V Separator"/>
      <sheetName val="12CGOU"/>
      <sheetName val="BQMP"/>
      <sheetName val="sheet"/>
      <sheetName val="DATE"/>
      <sheetName val="총괄내역서"/>
      <sheetName val="HO_ENG_MH_CAL3"/>
      <sheetName val="INPUT_DATA3"/>
      <sheetName val="7_2세부_부하계산서3"/>
      <sheetName val="Eq__Mobilization2"/>
      <sheetName val="_갑지3"/>
      <sheetName val="EQ_Total1"/>
      <sheetName val="CIVIL_BOQ2"/>
      <sheetName val="RAW_COST_SUMMARY2"/>
      <sheetName val="BLDG_BOQ2"/>
      <sheetName val="rate_analyses2"/>
      <sheetName val="Price_Detail1"/>
      <sheetName val="ITB_COST2"/>
      <sheetName val="DS_Oil_System1"/>
      <sheetName val="노임_단가1"/>
      <sheetName val="AOP_Summary-21"/>
      <sheetName val="plan&amp;section_of_foundation1"/>
      <sheetName val="pile_bearing_capa_&amp;_arrenge1"/>
      <sheetName val="design_load1"/>
      <sheetName val="working_load_at_the_btm_ft_1"/>
      <sheetName val="stability_check1"/>
      <sheetName val="design_criteria1"/>
      <sheetName val="Pjt_Data1"/>
      <sheetName val="2_배관1"/>
      <sheetName val="M_11"/>
      <sheetName val="PIPE_(SG)-발수"/>
      <sheetName val="TYPE-B_평균H"/>
      <sheetName val="ANA&amp;DESIGN&amp;REINF__"/>
      <sheetName val="PRIMARY_LOAD"/>
      <sheetName val="EXT_CHECK"/>
      <sheetName val="할증_"/>
      <sheetName val="Invoice_(Summary)"/>
      <sheetName val="Invoice_(IBL)"/>
      <sheetName val="Invoice_(OBL)"/>
      <sheetName val="OIL_SYST_DATA_SHTS"/>
      <sheetName val="Loop_Type"/>
      <sheetName val="공사비_분석표"/>
      <sheetName val="Resource_table"/>
      <sheetName val="간접비_총괄표"/>
      <sheetName val="[TDIBM1_X೺ഈG_MH_CAL"/>
      <sheetName val="REINF_"/>
      <sheetName val="Food_court_"/>
      <sheetName val="97_사업추정(WEKI)"/>
      <sheetName val="노원열병합__건축공사기성내역서"/>
      <sheetName val="BACK_DATA"/>
      <sheetName val="_TDIBM1.X೺"/>
      <sheetName val="Vertical FDN-12"/>
      <sheetName val="Pump FDN-1"/>
      <sheetName val="Horizontal Vessel FDN-1"/>
      <sheetName val="상세내역"/>
      <sheetName val="시간별적산"/>
      <sheetName val="NO.3.PTA PLANT SD COST"/>
      <sheetName val="비교원RD-S"/>
      <sheetName val="9904"/>
      <sheetName val="9908"/>
      <sheetName val="9912"/>
      <sheetName val="9902"/>
      <sheetName val="9901"/>
      <sheetName val="9907"/>
      <sheetName val="9906"/>
      <sheetName val="9903"/>
      <sheetName val="9905"/>
      <sheetName val="9911"/>
      <sheetName val="9910"/>
      <sheetName val="9909"/>
      <sheetName val="STA &amp; SEC"/>
      <sheetName val="GRACE"/>
      <sheetName val="major"/>
      <sheetName val="창고"/>
      <sheetName val="intake"/>
      <sheetName val="단면가정"/>
      <sheetName val="설계조건"/>
      <sheetName val="inter"/>
      <sheetName val="_TDIBM1.X೺_x005f_x0000_ഈ_x005f_x0000__x0000"/>
      <sheetName val="_TDIBM1_X೺ഈG_MH_CAL"/>
      <sheetName val="DESIGN"/>
      <sheetName val="OCT.FDN"/>
      <sheetName val="Valve List (Priced)"/>
      <sheetName val="Sheet2"/>
      <sheetName val="Tbl 1y 4"/>
      <sheetName val="BELİRLENECEKLER"/>
      <sheetName val="Database"/>
      <sheetName val="명판"/>
      <sheetName val="[TDIBM1.X೺"/>
      <sheetName val="노임"/>
      <sheetName val="wagerate"/>
      <sheetName val="ENG_prog"/>
      <sheetName val="Resource summary"/>
      <sheetName val="bdown"/>
      <sheetName val="CostDB"/>
      <sheetName val="실행자재"/>
      <sheetName val="Resource"/>
      <sheetName val="Break Down"/>
      <sheetName val="BQ"/>
      <sheetName val="Inert Balls"/>
      <sheetName val="투찰"/>
      <sheetName val="CDU (성창) Master"/>
      <sheetName val="내"/>
      <sheetName val="Overall Status"/>
      <sheetName val="[TDIBM1.X೺_x005f_x0000_ഈ_x005f_x0000__x0000"/>
      <sheetName val="Kredi Risk Alt_Grup"/>
      <sheetName val="Banka"/>
      <sheetName val="Tür"/>
      <sheetName val="Ana Gruplar"/>
      <sheetName val="ÖdemeTahsilat"/>
      <sheetName val="Kullanıcı"/>
      <sheetName val="Attachment 1"/>
      <sheetName val="Ex Rate"/>
      <sheetName val="B.5_Control Valve"/>
      <sheetName val="코드"/>
      <sheetName val=""/>
      <sheetName val="실행산출근거"/>
      <sheetName val="RFP002"/>
      <sheetName val="_TDIBM1.X೺_x0000_ഈ_x0000__x0000__x0000__x0000__x0000_G_MH_CAL"/>
      <sheetName val="Rates"/>
      <sheetName val="_TDIBM1.X೺_x005f_x005f_x005f_x0000_ഈ_x005f_x005f_"/>
      <sheetName val="토목주소"/>
      <sheetName val="프랜트면허"/>
      <sheetName val="activity"/>
      <sheetName val="노임단가"/>
      <sheetName val="환율"/>
      <sheetName val="TC"/>
      <sheetName val="양수장(기계)"/>
      <sheetName val="자바라1"/>
      <sheetName val="해외 연수비용 계산-삭제"/>
      <sheetName val="해외 기술훈련비 (합계)"/>
      <sheetName val="A(Rev.3)"/>
      <sheetName val="cwork"/>
      <sheetName val=" "/>
      <sheetName val="Eng_Hrs (HO)"/>
      <sheetName val="노단"/>
      <sheetName val="36단가"/>
      <sheetName val="36수량"/>
      <sheetName val="LOB"/>
      <sheetName val="HO_ENG_MH_CAL4"/>
      <sheetName val="7_2세부_부하계산서4"/>
      <sheetName val="INPUT_DATA4"/>
      <sheetName val="Eq__Mobilization3"/>
      <sheetName val="_갑지4"/>
      <sheetName val="EQ_Total2"/>
      <sheetName val="CIVIL_BOQ3"/>
      <sheetName val="RAW_COST_SUMMARY3"/>
      <sheetName val="BLDG_BOQ3"/>
      <sheetName val="rate_analyses3"/>
      <sheetName val="ITB_COST3"/>
      <sheetName val="DS_Oil_System2"/>
      <sheetName val="Price_Detail2"/>
      <sheetName val="노임_단가2"/>
      <sheetName val="Pjt_Data2"/>
      <sheetName val="M_111"/>
      <sheetName val="공사비_분석표1"/>
      <sheetName val="plan&amp;section_of_foundation2"/>
      <sheetName val="pile_bearing_capa_&amp;_arrenge2"/>
      <sheetName val="design_load2"/>
      <sheetName val="working_load_at_the_btm_ft_2"/>
      <sheetName val="stability_check2"/>
      <sheetName val="design_criteria2"/>
      <sheetName val="2_배관2"/>
      <sheetName val="AOP_Summary-22"/>
      <sheetName val="PIPE_(SG)-발수1"/>
      <sheetName val="TYPE-B_평균H1"/>
      <sheetName val="ANA&amp;DESIGN&amp;REINF__1"/>
      <sheetName val="PRIMARY_LOAD1"/>
      <sheetName val="EXT_CHECK1"/>
      <sheetName val="OIL_SYST_DATA_SHTS1"/>
      <sheetName val="할증_1"/>
      <sheetName val="Loop_Type1"/>
      <sheetName val="Resource_table1"/>
      <sheetName val="Invoice_(Summary)1"/>
      <sheetName val="Invoice_(IBL)1"/>
      <sheetName val="Invoice_(OBL)1"/>
      <sheetName val="간접비_총괄표1"/>
      <sheetName val="REINF_1"/>
      <sheetName val="Food_court_1"/>
      <sheetName val="97_사업추정(WEKI)1"/>
      <sheetName val="노원열병합__건축공사기성내역서1"/>
      <sheetName val="BACK_DATA1"/>
      <sheetName val="Rate_Analysis"/>
      <sheetName val="3_Breakdown_Direct_Instrument"/>
      <sheetName val="Inside_building_Summary"/>
      <sheetName val="L_V_Separator"/>
      <sheetName val="_TDIBM1_X೺"/>
      <sheetName val="Vertical_FDN-12"/>
      <sheetName val="Pump_FDN-1"/>
      <sheetName val="Horizontal_Vessel_FDN-1"/>
      <sheetName val="NO_3_PTA_PLANT_SD_COST"/>
      <sheetName val="STA_&amp;_SEC"/>
      <sheetName val="_TDIBM1_X೺_x005f_x0000_ഈ_x005f_x0000__x0000"/>
      <sheetName val="OCT_FDN"/>
      <sheetName val="Valve_List_(Priced)"/>
      <sheetName val="Flaer_Area"/>
      <sheetName val="Tbl_1y_4"/>
      <sheetName val="[TDIBM1_X೺"/>
      <sheetName val="Resource_summary"/>
      <sheetName val="Break_Down"/>
      <sheetName val="Inert_Balls"/>
      <sheetName val="CDU_(성창)_Master"/>
      <sheetName val="Overall_Status"/>
      <sheetName val="[TDIBM1_X೺_x005f_x0000_ഈ_x005f_x0000__x0000"/>
      <sheetName val="_TDIBM1_X೺_x005f_x005f_x005f_x0000_ഈ_x005f_x005f_"/>
      <sheetName val="Kredi_Risk_Alt_Grup"/>
      <sheetName val="Ana_Gruplar"/>
      <sheetName val="Attachment_1"/>
      <sheetName val="Ex_Rate"/>
      <sheetName val="B_5_Control_Valve"/>
      <sheetName val="해외_연수비용_계산-삭제"/>
      <sheetName val="해외_기술훈련비_(합계)"/>
      <sheetName val="A(Rev_3)"/>
      <sheetName val="HO_ENG_MH_CAL5"/>
      <sheetName val="7_2세부_부하계산서5"/>
      <sheetName val="INPUT_DATA5"/>
      <sheetName val="Eq__Mobilization4"/>
      <sheetName val="_갑지5"/>
      <sheetName val="EQ_Total3"/>
      <sheetName val="CIVIL_BOQ4"/>
      <sheetName val="RAW_COST_SUMMARY4"/>
      <sheetName val="BLDG_BOQ4"/>
      <sheetName val="rate_analyses4"/>
      <sheetName val="ITB_COST4"/>
      <sheetName val="DS_Oil_System3"/>
      <sheetName val="Price_Detail3"/>
      <sheetName val="노임_단가3"/>
      <sheetName val="Pjt_Data3"/>
      <sheetName val="M_112"/>
      <sheetName val="공사비_분석표2"/>
      <sheetName val="plan&amp;section_of_foundation3"/>
      <sheetName val="pile_bearing_capa_&amp;_arrenge3"/>
      <sheetName val="design_load3"/>
      <sheetName val="working_load_at_the_btm_ft_3"/>
      <sheetName val="stability_check3"/>
      <sheetName val="design_criteria3"/>
      <sheetName val="2_배관3"/>
      <sheetName val="AOP_Summary-23"/>
      <sheetName val="PIPE_(SG)-발수2"/>
      <sheetName val="TYPE-B_평균H2"/>
      <sheetName val="ANA&amp;DESIGN&amp;REINF__2"/>
      <sheetName val="PRIMARY_LOAD2"/>
      <sheetName val="EXT_CHECK2"/>
      <sheetName val="OIL_SYST_DATA_SHTS2"/>
      <sheetName val="할증_2"/>
      <sheetName val="Loop_Type2"/>
      <sheetName val="Resource_table2"/>
      <sheetName val="Invoice_(Summary)2"/>
      <sheetName val="Invoice_(IBL)2"/>
      <sheetName val="Invoice_(OBL)2"/>
      <sheetName val="간접비_총괄표2"/>
      <sheetName val="REINF_2"/>
      <sheetName val="Food_court_2"/>
      <sheetName val="97_사업추정(WEKI)2"/>
      <sheetName val="노원열병합__건축공사기성내역서2"/>
      <sheetName val="BACK_DATA2"/>
      <sheetName val="PROGRESS"/>
      <sheetName val="현장관리비 산출내역"/>
      <sheetName val="토목 Utility Schedule (2)"/>
      <sheetName val="주행"/>
      <sheetName val="choose"/>
      <sheetName val="단중"/>
      <sheetName val="품셈표"/>
      <sheetName val="Currency &amp; Other Cost"/>
      <sheetName val=" Sum"/>
      <sheetName val="spc 배관견적"/>
      <sheetName val="입찰내역 발주처 양식"/>
      <sheetName val="영업2"/>
      <sheetName val="영업3"/>
      <sheetName val="철거산출근거"/>
      <sheetName val="자재단가"/>
      <sheetName val="48일위"/>
      <sheetName val="48수량"/>
      <sheetName val="22수량"/>
      <sheetName val="49일위"/>
      <sheetName val="22일위"/>
      <sheetName val="49수량"/>
      <sheetName val="토공"/>
      <sheetName val="입찰안"/>
      <sheetName val="받은드럼"/>
      <sheetName val="드럼확인 배출"/>
      <sheetName val="pulling"/>
      <sheetName val="NGLE_PLANT"/>
      <sheetName val="Sheet3"/>
      <sheetName val="편집"/>
      <sheetName val="JB 명판인쇄"/>
      <sheetName val="IDB루트"/>
      <sheetName val="덕트뱅크 (2)"/>
      <sheetName val="플링 갑지"/>
      <sheetName val="JB 명판"/>
      <sheetName val="케이블마킹"/>
      <sheetName val="마킹표"/>
      <sheetName val="드럼 확인용"/>
      <sheetName val="01 09 CODE"/>
      <sheetName val="유림콘도"/>
      <sheetName val="InstrumentType"/>
      <sheetName val="UnitNumber"/>
      <sheetName val="TypicalNo"/>
      <sheetName val="Misc"/>
      <sheetName val="SignalType"/>
      <sheetName val="IOType"/>
      <sheetName val="Qty"/>
      <sheetName val="Variable"/>
      <sheetName val="Status"/>
      <sheetName val="SystemType"/>
      <sheetName val="InstrumentLocation"/>
      <sheetName val="Contents"/>
      <sheetName val="6PILE  (돌출)"/>
      <sheetName val="HX"/>
      <sheetName val="_"/>
      <sheetName val="Currency_&amp;_Other_Cost"/>
      <sheetName val="_Sum"/>
      <sheetName val="BREAKDOWN(철거설치)"/>
      <sheetName val="Sheeta"/>
      <sheetName val="Units+rev"/>
      <sheetName val="Table-Dont Delete"/>
      <sheetName val="_TDIBM1.X೺_x0000_ഈ_x0000__x0000"/>
      <sheetName val="_TDIBM1.X೺_x005f_x0000_ഈ_"/>
      <sheetName val="_TDIBM1.X೺_x005f_x005f_x0"/>
      <sheetName val="00-Summary Information-ABB"/>
      <sheetName val="세부내역"/>
      <sheetName val="HO_ENG_MH_CAL6"/>
      <sheetName val="7_2세부_부하계산서6"/>
      <sheetName val="INPUT_DATA6"/>
      <sheetName val="Eq__Mobilization5"/>
      <sheetName val="_갑지6"/>
      <sheetName val="EQ_Total4"/>
      <sheetName val="CIVIL_BOQ5"/>
      <sheetName val="RAW_COST_SUMMARY5"/>
      <sheetName val="BLDG_BOQ5"/>
      <sheetName val="rate_analyses5"/>
      <sheetName val="ITB_COST5"/>
      <sheetName val="Price_Detail4"/>
      <sheetName val="DS_Oil_System4"/>
      <sheetName val="노임_단가4"/>
      <sheetName val="plan&amp;section_of_foundation4"/>
      <sheetName val="pile_bearing_capa_&amp;_arrenge4"/>
      <sheetName val="design_load4"/>
      <sheetName val="working_load_at_the_btm_ft_4"/>
      <sheetName val="stability_check4"/>
      <sheetName val="design_criteria4"/>
      <sheetName val="2_배관4"/>
      <sheetName val="Pjt_Data4"/>
      <sheetName val="PIPE_(SG)-발수3"/>
      <sheetName val="AOP_Summary-24"/>
      <sheetName val="M_113"/>
      <sheetName val="TYPE-B_평균H3"/>
      <sheetName val="ANA&amp;DESIGN&amp;REINF__3"/>
      <sheetName val="PRIMARY_LOAD3"/>
      <sheetName val="EXT_CHECK3"/>
      <sheetName val="Invoice_(Summary)3"/>
      <sheetName val="Invoice_(IBL)3"/>
      <sheetName val="Invoice_(OBL)3"/>
      <sheetName val="할증_3"/>
      <sheetName val="OIL_SYST_DATA_SHTS3"/>
      <sheetName val="Loop_Type3"/>
      <sheetName val="공사비_분석표3"/>
      <sheetName val="Resource_table3"/>
      <sheetName val="간접비_총괄표3"/>
      <sheetName val="REINF_3"/>
      <sheetName val="Food_court_3"/>
      <sheetName val="97_사업추정(WEKI)3"/>
      <sheetName val="노원열병합__건축공사기성내역서3"/>
      <sheetName val="BACK_DATA3"/>
      <sheetName val="3_Breakdown_Direct_Instrument1"/>
      <sheetName val="Rate_Analysis1"/>
      <sheetName val="Inside_building_Summary1"/>
      <sheetName val="L_V_Separator1"/>
      <sheetName val="Vertical_FDN-121"/>
      <sheetName val="Pump_FDN-11"/>
      <sheetName val="Horizontal_Vessel_FDN-11"/>
      <sheetName val="Valve_List_(Priced)1"/>
      <sheetName val="_TDIBM1_X೺1"/>
      <sheetName val="NO_3_PTA_PLANT_SD_COST1"/>
      <sheetName val="STA_&amp;_SEC1"/>
      <sheetName val="_TDIBM1_X೺_x005f_x0000_ഈ_x005f_x0000__x0001"/>
      <sheetName val="OCT_FDN1"/>
      <sheetName val="Flaer_Area1"/>
      <sheetName val="Tbl_1y_41"/>
      <sheetName val="[TDIBM1_X೺1"/>
      <sheetName val="Resource_summary1"/>
      <sheetName val="Break_Down1"/>
      <sheetName val="Inert_Balls1"/>
      <sheetName val="CDU_(성창)_Master1"/>
      <sheetName val="Overall_Status1"/>
      <sheetName val="[TDIBM1_X೺_x005f_x0000_ഈ_x005f_x0000__x0001"/>
      <sheetName val="Kredi_Risk_Alt_Grup1"/>
      <sheetName val="Ana_Gruplar1"/>
      <sheetName val="Attachment_11"/>
      <sheetName val="Ex_Rate1"/>
      <sheetName val="B_5_Control_Valve1"/>
      <sheetName val="_TDIBM1_X೺_x005f_x005f_x005f_x0000_ഈ_x005f1"/>
      <sheetName val="해외_연수비용_계산-삭제1"/>
      <sheetName val="해외_기술훈련비_(합계)1"/>
      <sheetName val="spc_배관견적"/>
      <sheetName val="A(Rev_3)1"/>
      <sheetName val="토목_Utility_Schedule_(2)"/>
      <sheetName val="Eng_Hrs_(HO)"/>
      <sheetName val="현장관리비_산출내역"/>
      <sheetName val="입찰내역_발주처_양식"/>
      <sheetName val="드럼확인_배출"/>
      <sheetName val="JB_명판인쇄"/>
      <sheetName val="덕트뱅크_(2)"/>
      <sheetName val="플링_갑지"/>
      <sheetName val="JB_명판"/>
      <sheetName val="드럼_확인용"/>
      <sheetName val="01_09_CODE"/>
      <sheetName val="견"/>
      <sheetName val="6"/>
      <sheetName val="X17-TOTAL"/>
      <sheetName val="LinerWt"/>
      <sheetName val="율적용"/>
      <sheetName val="SPT vs PHI"/>
      <sheetName val="J"/>
      <sheetName val="L"/>
      <sheetName val="3.공통공사대비"/>
      <sheetName val="取费表"/>
      <sheetName val="合成単価作成表-BLDG"/>
      <sheetName val="BSPL"/>
      <sheetName val="[TDIBM1.X೺_x005f_x005f_x005f_x0000_ഈ_x005f_x005f_"/>
      <sheetName val="_TDIBM1.X೺_x005f_x005f_x005f_x005f_x005f_x005f_x0"/>
      <sheetName val="Instrument 구분 체계"/>
      <sheetName val="SCH B"/>
      <sheetName val="CAT.1"/>
      <sheetName val="DIAINCH"/>
      <sheetName val="EE-PROP"/>
      <sheetName val="TRNS-C1"/>
      <sheetName val="UNIT 3"/>
      <sheetName val="[TDIBM1.X೺_x0000_ഈ_x0000__x0000"/>
      <sheetName val="_TDIBM1_X೺_x0000_ഈ_x0000__x0000"/>
      <sheetName val="[TDIBM1_X೺_x0000_ഈ_x0000__x0000"/>
      <sheetName val="_TDIBM1_X೺_x005f_x0000_ഈ_"/>
      <sheetName val="_TDIBM1.X೺_x0000_ഈ_"/>
      <sheetName val="_TDIBM1_X೺_x0000_ഈ_"/>
      <sheetName val="modularity"/>
      <sheetName val="건축내역"/>
      <sheetName val="토목내역"/>
      <sheetName val="Consumables"/>
      <sheetName val="Benchmark"/>
      <sheetName val="RFP003A"/>
      <sheetName val="RFP003B"/>
      <sheetName val="RFP003C"/>
      <sheetName val="RFP003E"/>
      <sheetName val="RFP003F"/>
      <sheetName val="SW-TEO"/>
      <sheetName val="2-1-1) Zone &amp; Margin"/>
      <sheetName val="표준작업"/>
      <sheetName val="직종"/>
      <sheetName val="개시대사 (2)"/>
      <sheetName val="PRO_A"/>
      <sheetName val="ELEC_MCI"/>
      <sheetName val="Main"/>
      <sheetName val="INST_MCI"/>
      <sheetName val="MECH_MCI"/>
      <sheetName val="PRO"/>
      <sheetName val="차액보증"/>
      <sheetName val="data2"/>
      <sheetName val="2. 전력간선공사"/>
      <sheetName val="2"/>
      <sheetName val="실행"/>
      <sheetName val="갑지 1회"/>
      <sheetName val="표지1회"/>
      <sheetName val="18.07"/>
      <sheetName val="갑지 2회"/>
      <sheetName val="표지2회"/>
      <sheetName val="18.08"/>
      <sheetName val="갑지 3회"/>
      <sheetName val="표지3회"/>
      <sheetName val="18.09"/>
      <sheetName val="갑지 4회"/>
      <sheetName val="표지4회"/>
      <sheetName val="18.10"/>
      <sheetName val="갑지 5회"/>
      <sheetName val="표지5회"/>
      <sheetName val="18.11"/>
      <sheetName val="갑지 6회"/>
      <sheetName val="표지6회"/>
      <sheetName val="18.12"/>
      <sheetName val="갑지 7회"/>
      <sheetName val="표지7회"/>
      <sheetName val="19.01"/>
      <sheetName val="갑지 8회"/>
      <sheetName val="표지8회"/>
      <sheetName val="19.02"/>
      <sheetName val="갑지 9회"/>
      <sheetName val="표지 9회"/>
      <sheetName val="19.03"/>
      <sheetName val="갑지 10회"/>
      <sheetName val="표지 10회"/>
      <sheetName val="19.04"/>
      <sheetName val="갑지 11회"/>
      <sheetName val="표지 11회"/>
      <sheetName val="19.05"/>
      <sheetName val="갑지 12회"/>
      <sheetName val="표지 12회"/>
      <sheetName val="19.06"/>
      <sheetName val="갑지 13회"/>
      <sheetName val="표지 13회"/>
      <sheetName val="19.07"/>
      <sheetName val="갑지 14회"/>
      <sheetName val="표지 14회"/>
      <sheetName val="19.08"/>
      <sheetName val="갑지 15회"/>
      <sheetName val="표지 15회"/>
      <sheetName val="19.09"/>
      <sheetName val="DPT"/>
      <sheetName val="PERLITE"/>
      <sheetName val="MTO"/>
      <sheetName val="INNER TANK"/>
      <sheetName val="Codes,..."/>
      <sheetName val="DATA_DRAWING"/>
      <sheetName val="INNER TANK SEISMIC"/>
      <sheetName val="MATERIALS"/>
      <sheetName val="IPE"/>
      <sheetName val="GENERALITY"/>
      <sheetName val="Data_Sheet"/>
      <sheetName val="списки"/>
      <sheetName val="Лист2"/>
      <sheetName val="Quotation"/>
      <sheetName val="Plan Early Date"/>
      <sheetName val="表三甲"/>
      <sheetName val="공사비SUM"/>
      <sheetName val="PLAGCoct03"/>
      <sheetName val="Utility and Fire flange"/>
      <sheetName val="sh4"/>
      <sheetName val="RFP003D"/>
      <sheetName val="IDC-Sum"/>
      <sheetName val="_TDIBM1.X೺_x0"/>
      <sheetName val="bldg list"/>
      <sheetName val="CTEMCOST"/>
      <sheetName val="CAL1"/>
      <sheetName val="[TDIBM1.X೺?ഈ?????G_MH_CAL"/>
      <sheetName val="_TDIBM1.X೺?ഈ?????G_MH_CAL"/>
      <sheetName val="간접비내역-1"/>
      <sheetName val=" WWT 설비 Remote IO 추가건 (2013.02."/>
      <sheetName val="e-GAP Summary"/>
      <sheetName val="Cost"/>
      <sheetName val="ESCON"/>
      <sheetName val="XZLC003_PART1"/>
      <sheetName val="MTP"/>
      <sheetName val="MTP1"/>
      <sheetName val="당진1,2호기전선관설치및접지4차공사내역서-을지"/>
      <sheetName val="Chiet tinh dz35"/>
      <sheetName val="GeneralFeedDevices_Labels"/>
      <sheetName val="CalmingSection_Labels"/>
      <sheetName val="Welcome"/>
      <sheetName val="C_d"/>
      <sheetName val="Submission - Price Summary"/>
      <sheetName val="Subb-Manpower &amp; Equiptment Plan"/>
      <sheetName val="Price Summary REF"/>
      <sheetName val="Working"/>
      <sheetName val="Optional Working"/>
      <sheetName val="Indirect"/>
      <sheetName val="Equip Cost"/>
      <sheetName val="E &amp; I Rates"/>
      <sheetName val="E&amp;I CC"/>
      <sheetName val="PPT Input"/>
      <sheetName val="Org Chart"/>
      <sheetName val="Indirect MP"/>
      <sheetName val="Direct MP"/>
      <sheetName val="Manpower cost"/>
      <sheetName val="Schedule"/>
      <sheetName val="Scafolding"/>
      <sheetName val="Sheet9"/>
      <sheetName val="발전기"/>
      <sheetName val="간선"/>
      <sheetName val="Sheet10"/>
      <sheetName val="전기자료"/>
      <sheetName val="Sheet14"/>
      <sheetName val="Sheet13"/>
      <sheetName val="검사조서"/>
      <sheetName val="제경비비교"/>
      <sheetName val="공사대금지급요청서"/>
      <sheetName val="지분별 기성금"/>
      <sheetName val="개산급(서울)"/>
      <sheetName val="시기"/>
      <sheetName val="분석"/>
      <sheetName val="총내"/>
      <sheetName val="총원"/>
      <sheetName val="건원"/>
      <sheetName val="건집"/>
      <sheetName val="건내"/>
      <sheetName val="타설현황"/>
      <sheetName val="레미콘"/>
      <sheetName val="방수"/>
      <sheetName val="견출"/>
      <sheetName val="갱폼,AL폼"/>
      <sheetName val="단열재(골조)"/>
      <sheetName val="단열재(수장)"/>
      <sheetName val="경량벽체"/>
      <sheetName val="천정"/>
      <sheetName val="조적"/>
      <sheetName val="도배 및 수장"/>
      <sheetName val="미장"/>
      <sheetName val="타일"/>
      <sheetName val="도장"/>
      <sheetName val="유리"/>
      <sheetName val="PL창호"/>
      <sheetName val="지붕"/>
      <sheetName val="발코니난간대"/>
      <sheetName val="목창호"/>
      <sheetName val="석공사"/>
      <sheetName val="금속창호"/>
      <sheetName val="시스템가구"/>
      <sheetName val="일반가구"/>
      <sheetName val="엘리베이터"/>
      <sheetName val="토원"/>
      <sheetName val="토집"/>
      <sheetName val="토내"/>
      <sheetName val="개산급적용내역"/>
      <sheetName val="방침결정내역"/>
      <sheetName val="오수집계표"/>
      <sheetName val="우수집계표"/>
      <sheetName val="자재반입현황"/>
      <sheetName val="기원"/>
      <sheetName val="기집"/>
      <sheetName val="기내"/>
      <sheetName val="증빙서류"/>
      <sheetName val="타설현황 및 이중관(03월)"/>
      <sheetName val="급수급탕,난방 입상배관(03월)"/>
      <sheetName val="급수급탕,난방 입상배관 보온(03월)"/>
      <sheetName val="상트랩설치(03월)"/>
      <sheetName val="급수 입상배관 열선(03월)"/>
      <sheetName val="양변기설치(03월)"/>
      <sheetName val="세면기설치(03월)"/>
      <sheetName val="샤워수전설치(03월)"/>
      <sheetName val="싱크수전설치(03월)"/>
      <sheetName val="절수기설치(03월)"/>
      <sheetName val="슬라이딩형수납장(03월)"/>
      <sheetName val="슬라이딩형수납장 도어(03월)"/>
      <sheetName val="가스쿡탑(03월)"/>
      <sheetName val="레인지후드(03월)"/>
      <sheetName val="악세사리설치(03월)"/>
      <sheetName val="냉온수계량기,감압밸브설치(03월)"/>
      <sheetName val="열량계,유량제어밸브설치(03월)"/>
      <sheetName val="세대발코니 입상(03월)"/>
      <sheetName val="화장실 배기휀설치(03월)"/>
      <sheetName val="욕조설치(03월)"/>
      <sheetName val="건식AD(03월)"/>
      <sheetName val="후렉시블(03월)"/>
      <sheetName val="화장실 방화댐퍼(03월)"/>
      <sheetName val="주방 방화댐퍼(03월)"/>
      <sheetName val="오배수입상(03월)"/>
      <sheetName val="주방 정풍량 댐퍼 및 덕트 설치(03월)"/>
      <sheetName val="세대오배수배관(03월)"/>
      <sheetName val="난방분배기(03월)"/>
      <sheetName val=" 난방코일(03월)"/>
      <sheetName val="동지하주철(03월)"/>
      <sheetName val="동지하위생(03월)"/>
      <sheetName val="세대SP(03월)"/>
      <sheetName val="소방입상(03월)"/>
      <sheetName val="소방입상보온(03월)"/>
      <sheetName val="소방입상배관 열선(03월)"/>
      <sheetName val="폴리우레탄호스(03월)"/>
      <sheetName val="제연댐퍼(03월)"/>
      <sheetName val="세대환기(03월)"/>
      <sheetName val="세대환기디퓨져(03월)"/>
      <sheetName val="세대환기후렉시블(03월)"/>
      <sheetName val="세대환기장비(03월)"/>
      <sheetName val="상.하부후레임(03월)"/>
      <sheetName val="건식PD 전면판(03월)"/>
      <sheetName val="WEMS export"/>
      <sheetName val="Currency Rate"/>
      <sheetName val="Addendum No.1 BILL 2"/>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입출재고현황 (2)"/>
      <sheetName val="D 5243-ARAMCO"/>
      <sheetName val="D-4801 OXY"/>
      <sheetName val="1206-GMP-Data"/>
      <sheetName val="생산현황"/>
      <sheetName val="F-TOTAL"/>
      <sheetName val="실행철강하도"/>
      <sheetName val="결과"/>
      <sheetName val="Capa Ref GMP"/>
      <sheetName val="October 2020"/>
      <sheetName val="General"/>
      <sheetName val="Menus"/>
      <sheetName val="4. Fuel Gas Consumption(201029)"/>
      <sheetName val="EQUIP LIST"/>
      <sheetName val="VAT TU DIEN"/>
      <sheetName val="PAD TR보호대기초"/>
      <sheetName val="가로등기초"/>
      <sheetName val="HANDHOLE(2)"/>
      <sheetName val="공정집계_국별"/>
      <sheetName val="결과조달"/>
      <sheetName val="경상비"/>
      <sheetName val="WORK"/>
      <sheetName val="일반공사"/>
      <sheetName val="공사개요"/>
      <sheetName val="도급내역"/>
      <sheetName val="연결임시"/>
      <sheetName val="구조물공"/>
      <sheetName val="투찰추정"/>
      <sheetName val="부대공"/>
      <sheetName val="도급금액"/>
      <sheetName val="재노경"/>
      <sheetName val="배수공"/>
      <sheetName val="일위대가(1)"/>
      <sheetName val="원가계산서"/>
      <sheetName val="총공사내역서"/>
      <sheetName val="도급"/>
      <sheetName val="포장공"/>
      <sheetName val="Conduit_Size선정"/>
      <sheetName val="Rekap"/>
      <sheetName val="Analisa"/>
      <sheetName val="Perm. Test"/>
      <sheetName val="Anal-SNI"/>
      <sheetName val="DAF.TUL"/>
      <sheetName val="Material"/>
      <sheetName val="daf-3(OK)"/>
      <sheetName val="daf-7(OK)"/>
      <sheetName val="21"/>
      <sheetName val="351BQMCN"/>
      <sheetName val="Bahan "/>
      <sheetName val="Upah"/>
      <sheetName val="Isolasi Luar Dalam"/>
      <sheetName val="Isolasi Luar"/>
      <sheetName val="Cash Flow bulanan"/>
      <sheetName val="rap rinci"/>
      <sheetName val="BQ-E20-02(Rp)"/>
      <sheetName val="HARGA ALAT"/>
      <sheetName val="DAF-4"/>
      <sheetName val="DAF-5"/>
      <sheetName val="iTEM hARSAT"/>
      <sheetName val="Bahan"/>
      <sheetName val="BUL"/>
      <sheetName val="H.Satuan"/>
      <sheetName val="PPC"/>
      <sheetName val="HB "/>
      <sheetName val="Galian 1"/>
      <sheetName val="Bill No 6 Koord &amp; Attendance"/>
      <sheetName val="DAF-1"/>
      <sheetName val="Public Area"/>
      <sheetName val="DAFTAR HARGA"/>
      <sheetName val="Informasi"/>
      <sheetName val="hsat-SD"/>
      <sheetName val="an-satuan"/>
      <sheetName val="Rekap-SD"/>
      <sheetName val="RAB"/>
      <sheetName val="SILICATE"/>
      <sheetName val="품셈"/>
      <sheetName val="RefG"/>
      <sheetName val="IRR sponsor"/>
      <sheetName val="CIM"/>
      <sheetName val="0000"/>
      <sheetName val="EQ USED (CORRECTED)"/>
      <sheetName val="Curves"/>
      <sheetName val="Note"/>
      <sheetName val="Heads"/>
      <sheetName val="Dbase"/>
      <sheetName val="Tables"/>
      <sheetName val="Page 2"/>
      <sheetName val="BW"/>
      <sheetName val="#¡REF"/>
      <sheetName val="Malaysia incl. RET"/>
      <sheetName val="Tag Equip Value"/>
      <sheetName val="Register"/>
      <sheetName val="_TDIBM1_X೺_x005f_x005f_x0"/>
      <sheetName val="ANAL.BOW"/>
      <sheetName val="具志川H社"/>
      <sheetName val="VS P-Q"/>
      <sheetName val="CT Thang Mo"/>
      <sheetName val="CT  PL"/>
      <sheetName val="Equipment Cost"/>
      <sheetName val="기성내역"/>
      <sheetName val="갑지(추정)"/>
      <sheetName val="progress(RM)"/>
      <sheetName val="manhour"/>
      <sheetName val="exp"/>
      <sheetName val="2.주요계수총괄"/>
      <sheetName val="CEQ_Master"/>
      <sheetName val="Man_Master"/>
      <sheetName val="GAEYO"/>
      <sheetName val="TOWER 10TON"/>
      <sheetName val="TOWER 12TON"/>
      <sheetName val="Lookup Lists"/>
      <sheetName val="Lists"/>
      <sheetName val="9. 콘덴서"/>
      <sheetName val="HO_ENG_MH_CAL7"/>
      <sheetName val="INPUT_DATA7"/>
      <sheetName val="Eq__Mobilization6"/>
      <sheetName val="7_2세부_부하계산서7"/>
      <sheetName val="_갑지7"/>
      <sheetName val="ITB_COST6"/>
      <sheetName val="EQ_Total5"/>
      <sheetName val="CIVIL_BOQ6"/>
      <sheetName val="RAW_COST_SUMMARY6"/>
      <sheetName val="BLDG_BOQ6"/>
      <sheetName val="rate_analyses6"/>
      <sheetName val="Price_Detail5"/>
      <sheetName val="DS_Oil_System5"/>
      <sheetName val="Pjt_Data5"/>
      <sheetName val="노임_단가5"/>
      <sheetName val="plan&amp;section_of_foundation5"/>
      <sheetName val="pile_bearing_capa_&amp;_arrenge5"/>
      <sheetName val="design_load5"/>
      <sheetName val="working_load_at_the_btm_ft_5"/>
      <sheetName val="stability_check5"/>
      <sheetName val="design_criteria5"/>
      <sheetName val="M_114"/>
      <sheetName val="AOP_Summary-25"/>
      <sheetName val="2_배관5"/>
      <sheetName val="TYPE-B_평균H4"/>
      <sheetName val="ANA&amp;DESIGN&amp;REINF__4"/>
      <sheetName val="PRIMARY_LOAD4"/>
      <sheetName val="EXT_CHECK4"/>
      <sheetName val="PIPE_(SG)-발수4"/>
      <sheetName val="OIL_SYST_DATA_SHTS4"/>
      <sheetName val="할증_4"/>
      <sheetName val="Loop_Type4"/>
      <sheetName val="공사비_분석표4"/>
      <sheetName val="간접비_총괄표4"/>
      <sheetName val="Resource_table4"/>
      <sheetName val="Invoice_(Summary)4"/>
      <sheetName val="Invoice_(IBL)4"/>
      <sheetName val="Invoice_(OBL)4"/>
      <sheetName val="REINF_4"/>
      <sheetName val="Food_court_4"/>
      <sheetName val="97_사업추정(WEKI)4"/>
      <sheetName val="노원열병합__건축공사기성내역서4"/>
      <sheetName val="BACK_DATA4"/>
      <sheetName val="3_Breakdown_Direct_Instrument2"/>
      <sheetName val="Inside_building_Summary2"/>
      <sheetName val="Rate_Analysis2"/>
      <sheetName val="L_V_Separator2"/>
      <sheetName val="Kredi_Risk_Alt_Grup2"/>
      <sheetName val="Ana_Gruplar2"/>
      <sheetName val="Attachment_12"/>
      <sheetName val="Ex_Rate2"/>
      <sheetName val="[TDIBM1_X೺_x005f_x0000_ഈ_x005f_x0000__x0002"/>
      <sheetName val="Vertical_FDN-122"/>
      <sheetName val="Pump_FDN-12"/>
      <sheetName val="Horizontal_Vessel_FDN-12"/>
      <sheetName val="B_5_Control_Valve2"/>
      <sheetName val="Overall_Status2"/>
      <sheetName val="Resource_summary2"/>
      <sheetName val="Break_Down2"/>
      <sheetName val="_TDIBM1_X೺2"/>
      <sheetName val="NO_3_PTA_PLANT_SD_COST2"/>
      <sheetName val="STA_&amp;_SEC2"/>
      <sheetName val="_TDIBM1_X೺_x005f_x0000_ഈ_x005f_x0000__x0002"/>
      <sheetName val="OCT_FDN2"/>
      <sheetName val="Flaer_Area2"/>
      <sheetName val="Valve_List_(Priced)2"/>
      <sheetName val="Tbl_1y_42"/>
      <sheetName val="Inert_Balls2"/>
      <sheetName val="[TDIBM1_X೺2"/>
      <sheetName val="CDU_(성창)_Master2"/>
      <sheetName val="_TDIBM1_X೺_x005f_x005f_x005f_x0000_ഈ_x005f2"/>
      <sheetName val="_1"/>
      <sheetName val="A(Rev_3)2"/>
      <sheetName val="해외_연수비용_계산-삭제2"/>
      <sheetName val="해외_기술훈련비_(합계)2"/>
      <sheetName val="토목_Utility_Schedule_(2)1"/>
      <sheetName val="Currency_&amp;_Other_Cost1"/>
      <sheetName val="_Sum1"/>
      <sheetName val="드럼확인_배출1"/>
      <sheetName val="JB_명판인쇄1"/>
      <sheetName val="덕트뱅크_(2)1"/>
      <sheetName val="플링_갑지1"/>
      <sheetName val="JB_명판1"/>
      <sheetName val="드럼_확인용1"/>
      <sheetName val="spc_배관견적1"/>
      <sheetName val="Eng_Hrs_(HO)1"/>
      <sheetName val="01_09_CODE1"/>
      <sheetName val="현장관리비_산출내역1"/>
      <sheetName val="[TDIBM1_X೺_x005f_x005f_x005f_x0000_ഈ_x005f_x005f_"/>
      <sheetName val="_TDIBM1_X೺_x005f_x005f_x005f_x005f_x005f_x005f_x0"/>
      <sheetName val="_TDIBM1_X೺ഈ_x00001"/>
      <sheetName val="_TDIBM1_X೺_x005f_x0000_ഈ_1"/>
      <sheetName val="6PILE__(돌출)"/>
      <sheetName val="00-Summary_Information-ABB"/>
      <sheetName val="Table-Dont_Delete"/>
      <sheetName val="Instrument_구분_체계"/>
      <sheetName val="CAT_1"/>
      <sheetName val="입찰내역_발주처_양식1"/>
      <sheetName val="SPT_vs_PHI"/>
      <sheetName val="SCH_B"/>
      <sheetName val="UNIT_3"/>
      <sheetName val="Plan_Early_Date"/>
      <sheetName val="2-1-1)_Zone_&amp;_Margin"/>
      <sheetName val="Utility_and_Fire_flange"/>
      <sheetName val="INNER_TANK"/>
      <sheetName val="Codes,___"/>
      <sheetName val="INNER_TANK_SEISMIC"/>
      <sheetName val="[TDIBM1_X೺ഈ_x00001"/>
      <sheetName val="_TDIBM1_X೺ഈ_1"/>
      <sheetName val="3_공통공사대비"/>
      <sheetName val="개시대사_(2)"/>
      <sheetName val="2__전력간선공사"/>
      <sheetName val="_WWT_설비_Remote_IO_추가건_(2013_02_"/>
      <sheetName val="bldg_list"/>
      <sheetName val="[TDIBM1_X೺?ഈ?????G_MH_CAL"/>
      <sheetName val="_TDIBM1_X೺?ഈ?????G_MH_CAL"/>
      <sheetName val="_TDIBM1_X೺_x0"/>
      <sheetName val="ACT_ALL IN"/>
      <sheetName val="PkRp"/>
      <sheetName val="Kuantitas &amp; Harga"/>
      <sheetName val="struktur tdk dipakai"/>
      <sheetName val="AC"/>
      <sheetName val="FILTER"/>
      <sheetName val="HO_ENG_MH_CAL8"/>
      <sheetName val="Flaer_Area3"/>
      <sheetName val="Eq__Mobilization7"/>
      <sheetName val="INPUT_DATA8"/>
      <sheetName val="7_2세부_부하계산서8"/>
      <sheetName val="_갑지8"/>
      <sheetName val="ITB_COST7"/>
      <sheetName val="CIVIL_BOQ7"/>
      <sheetName val="RAW_COST_SUMMARY7"/>
      <sheetName val="BLDG_BOQ7"/>
      <sheetName val="rate_analyses7"/>
      <sheetName val="EQ_Total6"/>
      <sheetName val="Price_Detail6"/>
      <sheetName val="DS_Oil_System6"/>
      <sheetName val="노임_단가6"/>
      <sheetName val="M_115"/>
      <sheetName val="REINF_5"/>
      <sheetName val="plan&amp;section_of_foundation6"/>
      <sheetName val="pile_bearing_capa_&amp;_arrenge6"/>
      <sheetName val="design_load6"/>
      <sheetName val="working_load_at_the_btm_ft_6"/>
      <sheetName val="stability_check6"/>
      <sheetName val="design_criteria6"/>
      <sheetName val="2_배관6"/>
      <sheetName val="Pjt_Data6"/>
      <sheetName val="PIPE_(SG)-발수5"/>
      <sheetName val="AOP_Summary-26"/>
      <sheetName val="ANA&amp;DESIGN&amp;REINF__5"/>
      <sheetName val="PRIMARY_LOAD5"/>
      <sheetName val="EXT_CHECK5"/>
      <sheetName val="할증_5"/>
      <sheetName val="공사비_분석표5"/>
      <sheetName val="TYPE-B_평균H5"/>
      <sheetName val="OIL_SYST_DATA_SHTS5"/>
      <sheetName val="Food_court_5"/>
      <sheetName val="97_사업추정(WEKI)5"/>
      <sheetName val="노원열병합__건축공사기성내역서5"/>
      <sheetName val="BACK_DATA5"/>
      <sheetName val="Loop_Type5"/>
      <sheetName val="간접비_총괄표5"/>
      <sheetName val="Resource_table5"/>
      <sheetName val="Invoice_(Summary)5"/>
      <sheetName val="Invoice_(IBL)5"/>
      <sheetName val="Invoice_(OBL)5"/>
      <sheetName val="Rate_Analysis3"/>
      <sheetName val="3_Breakdown_Direct_Instrument3"/>
      <sheetName val="Inside_building_Summary3"/>
      <sheetName val="L_V_Separator3"/>
      <sheetName val="_TDIBM1_X೺3"/>
      <sheetName val="Vertical_FDN-123"/>
      <sheetName val="Pump_FDN-13"/>
      <sheetName val="Horizontal_Vessel_FDN-13"/>
      <sheetName val="NO_3_PTA_PLANT_SD_COST3"/>
      <sheetName val="STA_&amp;_SEC3"/>
      <sheetName val="_TDIBM1_X೺_x005f_x0000_ഈ_x005f_x0000__x0003"/>
      <sheetName val="OCT_FDN3"/>
      <sheetName val="Valve_List_(Priced)3"/>
      <sheetName val="Tbl_1y_43"/>
      <sheetName val="[TDIBM1_X೺3"/>
      <sheetName val="Resource_summary3"/>
      <sheetName val="Break_Down3"/>
      <sheetName val="Inert_Balls3"/>
      <sheetName val="CDU_(성창)_Master3"/>
      <sheetName val="Overall_Status3"/>
      <sheetName val="[TDIBM1_X೺_x005f_x0000_ഈ_x005f_x0000__x0003"/>
      <sheetName val="Kredi_Risk_Alt_Grup3"/>
      <sheetName val="Ana_Gruplar3"/>
      <sheetName val="Attachment_13"/>
      <sheetName val="Ex_Rate3"/>
      <sheetName val="B_5_Control_Valve3"/>
      <sheetName val="_TDIBM1_X೺_x005f_x005f_x005f_x0000_ഈ_x005f3"/>
      <sheetName val="해외_연수비용_계산-삭제3"/>
      <sheetName val="해외_기술훈련비_(합계)3"/>
      <sheetName val="A(Rev_3)3"/>
      <sheetName val="_2"/>
      <sheetName val="Eng_Hrs_(HO)2"/>
      <sheetName val="현장관리비_산출내역2"/>
      <sheetName val="토목_Utility_Schedule_(2)2"/>
      <sheetName val="Currency_&amp;_Other_Cost2"/>
      <sheetName val="_Sum2"/>
      <sheetName val="spc_배관견적2"/>
      <sheetName val="입찰내역_발주처_양식2"/>
      <sheetName val="드럼확인_배출2"/>
      <sheetName val="JB_명판인쇄2"/>
      <sheetName val="덕트뱅크_(2)2"/>
      <sheetName val="플링_갑지2"/>
      <sheetName val="JB_명판2"/>
      <sheetName val="드럼_확인용2"/>
      <sheetName val="01_09_CODE2"/>
      <sheetName val="6PILE__(돌출)1"/>
      <sheetName val="Table-Dont_Delete1"/>
      <sheetName val="_TDIBM1_X೺_x005f_x0000_ഈ_2"/>
      <sheetName val="_TDIBM1_X೺_x005f_x005f_x01"/>
      <sheetName val="00-Summary_Information-ABB1"/>
      <sheetName val="SPT_vs_PHI1"/>
      <sheetName val="3_공통공사대비1"/>
      <sheetName val="[TDIBM1_X೺_x005f_x005f_x005f_x0000_ഈ_x005f1"/>
      <sheetName val="_TDIBM1_X೺_x005f_x005f_x005f_x005f_x005f_x005f_x1"/>
      <sheetName val="Instrument_구분_체계1"/>
      <sheetName val="SCH_B1"/>
      <sheetName val="CAT_11"/>
      <sheetName val="UNIT_31"/>
      <sheetName val="2-1-1)_Zone_&amp;_Margin1"/>
      <sheetName val="개시대사_(2)1"/>
      <sheetName val="2__전력간선공사1"/>
      <sheetName val="갑지_1회"/>
      <sheetName val="18_07"/>
      <sheetName val="갑지_2회"/>
      <sheetName val="18_08"/>
      <sheetName val="갑지_3회"/>
      <sheetName val="18_09"/>
      <sheetName val="갑지_4회"/>
      <sheetName val="18_10"/>
      <sheetName val="갑지_5회"/>
      <sheetName val="18_11"/>
      <sheetName val="갑지_6회"/>
      <sheetName val="18_12"/>
      <sheetName val="갑지_7회"/>
      <sheetName val="19_01"/>
      <sheetName val="갑지_8회"/>
      <sheetName val="19_02"/>
      <sheetName val="갑지_9회"/>
      <sheetName val="표지_9회"/>
      <sheetName val="19_03"/>
      <sheetName val="갑지_10회"/>
      <sheetName val="표지_10회"/>
      <sheetName val="19_04"/>
      <sheetName val="갑지_11회"/>
      <sheetName val="표지_11회"/>
      <sheetName val="19_05"/>
      <sheetName val="갑지_12회"/>
      <sheetName val="표지_12회"/>
      <sheetName val="19_06"/>
      <sheetName val="갑지_13회"/>
      <sheetName val="표지_13회"/>
      <sheetName val="19_07"/>
      <sheetName val="갑지_14회"/>
      <sheetName val="표지_14회"/>
      <sheetName val="19_08"/>
      <sheetName val="갑지_15회"/>
      <sheetName val="표지_15회"/>
      <sheetName val="19_09"/>
      <sheetName val="INNER_TANK1"/>
      <sheetName val="Codes,___1"/>
      <sheetName val="INNER_TANK_SEISMIC1"/>
      <sheetName val="Plan_Early_Date1"/>
      <sheetName val="Utility_and_Fire_flange1"/>
      <sheetName val="_TDIBM1_X೺_x01"/>
      <sheetName val="bldg_list1"/>
      <sheetName val="[TDIBM1_X೺?ഈ?????G_MH_CAL1"/>
      <sheetName val="_TDIBM1_X೺?ഈ?????G_MH_CAL1"/>
      <sheetName val="_WWT_설비_Remote_IO_추가건_(2013_021"/>
      <sheetName val="e-GAP_Summary"/>
      <sheetName val="Chiet_tinh_dz35"/>
      <sheetName val="Submission_-_Price_Summary"/>
      <sheetName val="Subb-Manpower_&amp;_Equiptment_Plan"/>
      <sheetName val="Price_Summary_REF"/>
      <sheetName val="Optional_Working"/>
      <sheetName val="Equip_Cost"/>
      <sheetName val="E_&amp;_I_Rates"/>
      <sheetName val="E&amp;I_CC"/>
      <sheetName val="PPT_Input"/>
      <sheetName val="Org_Chart"/>
      <sheetName val="Indirect_MP"/>
      <sheetName val="Direct_MP"/>
      <sheetName val="Manpower_cost"/>
      <sheetName val="지분별_기성금"/>
      <sheetName val="도배_및_수장"/>
      <sheetName val="타설현황_및_이중관(03월)"/>
      <sheetName val="급수급탕,난방_입상배관(03월)"/>
      <sheetName val="급수급탕,난방_입상배관_보온(03월)"/>
      <sheetName val="급수_입상배관_열선(03월)"/>
      <sheetName val="슬라이딩형수납장_도어(03월)"/>
      <sheetName val="세대발코니_입상(03월)"/>
      <sheetName val="화장실_배기휀설치(03월)"/>
      <sheetName val="화장실_방화댐퍼(03월)"/>
      <sheetName val="주방_방화댐퍼(03월)"/>
      <sheetName val="주방_정풍량_댐퍼_및_덕트_설치(03월)"/>
      <sheetName val="_난방코일(03월)"/>
      <sheetName val="소방입상배관_열선(03월)"/>
      <sheetName val="상_하부후레임(03월)"/>
      <sheetName val="건식PD_전면판(03월)"/>
      <sheetName val="WEMS_export"/>
      <sheetName val="Currency_Rate"/>
      <sheetName val="Addendum_No_1_BILL_2"/>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입출재고현황_(2)"/>
      <sheetName val="D_5243-ARAMCO"/>
      <sheetName val="D-4801_OXY"/>
      <sheetName val="Capa_Ref_GMP"/>
      <sheetName val="October_2020"/>
      <sheetName val="4__Fuel_Gas_Consumption(201029)"/>
      <sheetName val="EQUIP_LIST"/>
      <sheetName val="VAT_TU_DIEN"/>
      <sheetName val="PAD_TR보호대기초"/>
      <sheetName val="Perm__Test"/>
      <sheetName val="DAF_TUL"/>
      <sheetName val="Bahan_"/>
      <sheetName val="Isolasi_Luar_Dalam"/>
      <sheetName val="Isolasi_Luar"/>
      <sheetName val="Cash_Flow_bulanan"/>
      <sheetName val="rap_rinci"/>
      <sheetName val="HARGA_ALAT"/>
      <sheetName val="iTEM_hARSAT"/>
      <sheetName val="H_Satuan"/>
      <sheetName val="HB_"/>
      <sheetName val="Galian_1"/>
      <sheetName val="Bill_No_6_Koord_&amp;_Attendance"/>
      <sheetName val="Public_Area"/>
      <sheetName val="DAFTAR_HARGA"/>
      <sheetName val="IRR_sponsor"/>
      <sheetName val="EQ_USED_(CORRECTED)"/>
      <sheetName val="Page_2"/>
      <sheetName val="Malaysia_incl__RET"/>
      <sheetName val="Tag_Equip_Value"/>
      <sheetName val="ANAL_BOW"/>
      <sheetName val="VS_P-Q"/>
      <sheetName val="CT_Thang_Mo"/>
      <sheetName val="CT__PL"/>
      <sheetName val="Equipment_Cost"/>
      <sheetName val="2_주요계수총괄"/>
      <sheetName val="TOWER_10TON"/>
      <sheetName val="TOWER_12TON"/>
      <sheetName val="Lookup_Lists"/>
      <sheetName val="9__콘덴서"/>
      <sheetName val="ACT_ALL_IN"/>
      <sheetName val="Kuantitas_&amp;_Harga"/>
      <sheetName val="struktur_tdk_dipakai"/>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refreshError="1"/>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refreshError="1"/>
      <sheetData sheetId="455" refreshError="1"/>
      <sheetData sheetId="456" refreshError="1"/>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sheetData sheetId="707" refreshError="1"/>
      <sheetData sheetId="708"/>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refreshError="1"/>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refreshError="1"/>
      <sheetData sheetId="839" refreshError="1"/>
      <sheetData sheetId="840" refreshError="1"/>
      <sheetData sheetId="841" refreshError="1"/>
      <sheetData sheetId="842" refreshError="1"/>
      <sheetData sheetId="843" refreshError="1"/>
      <sheetData sheetId="844" refreshError="1"/>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refreshError="1"/>
      <sheetData sheetId="937" refreshError="1"/>
      <sheetData sheetId="938" refreshError="1"/>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refreshError="1"/>
      <sheetData sheetId="1164" refreshError="1"/>
      <sheetData sheetId="1165" refreshError="1"/>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refreshError="1"/>
      <sheetData sheetId="1198" refreshError="1"/>
      <sheetData sheetId="1199" refreshError="1"/>
      <sheetData sheetId="1200" refreshError="1"/>
      <sheetData sheetId="1201" refreshError="1"/>
      <sheetData sheetId="1202" refreshError="1"/>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2SOR5"/>
    </sheetNames>
    <definedNames>
      <definedName name="BoutonAnnuler_QuandClic"/>
    </defined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e des doc SOCOMENIN"/>
      <sheetName val="§3-2"/>
      <sheetName val="§3-3"/>
      <sheetName val="§3-4"/>
      <sheetName val="§3-5"/>
      <sheetName val="§3-7"/>
      <sheetName val="§3-8"/>
      <sheetName val="T11"/>
    </sheetNames>
    <sheetDataSet>
      <sheetData sheetId="0"/>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1 - Front Sheet"/>
      <sheetName val="Page 2 - Revision History"/>
      <sheetName val="Page 3 - Contents"/>
      <sheetName val="Page 4 - Abbreviations"/>
      <sheetName val="Page 5 - Holds"/>
      <sheetName val="Page 6 - Notes"/>
      <sheetName val="Page 7 - Process Data"/>
      <sheetName val="Page 8- Mechanical Data"/>
      <sheetName val="Page 9 - Mechanical Data"/>
      <sheetName val="Page 10- Equip Sketch"/>
      <sheetName val="Page 11 - TP Data"/>
      <sheetName val="Page 12 - Weight Data"/>
      <sheetName val="Page 13 - Noise Data"/>
      <sheetName val="Page_1_-_Front_Sheet"/>
      <sheetName val="Page_2_-_Revision_History"/>
      <sheetName val="Page_3_-_Contents"/>
      <sheetName val="Page_4_-_Abbreviations"/>
      <sheetName val="Page_5_-_Holds"/>
      <sheetName val="Page_6_-_Notes"/>
      <sheetName val="Page_7_-_Process_Data"/>
      <sheetName val="Page_8-_Mechanical_Data"/>
      <sheetName val="Page_9_-_Mechanical_Data"/>
      <sheetName val="Page_10-_Equip_Sketch"/>
      <sheetName val="Page_11_-_TP_Data"/>
      <sheetName val="Page_12_-_Weight_Data"/>
      <sheetName val="Page_13_-_Noise_Data"/>
      <sheetName val="Page_1_-_Front_Sheet1"/>
      <sheetName val="Page_2_-_Revision_History1"/>
      <sheetName val="Page_3_-_Contents1"/>
      <sheetName val="Page_4_-_Abbreviations1"/>
      <sheetName val="Page_5_-_Holds1"/>
      <sheetName val="Page_6_-_Notes1"/>
      <sheetName val="Page_7_-_Process_Data1"/>
      <sheetName val="Page_8-_Mechanical_Data1"/>
      <sheetName val="Page_9_-_Mechanical_Data1"/>
      <sheetName val="Page_10-_Equip_Sketch1"/>
      <sheetName val="Page_11_-_TP_Data1"/>
      <sheetName val="Page_12_-_Weight_Data1"/>
      <sheetName val="Page_13_-_Noise_Data1"/>
      <sheetName val="Page_1_-_Front_Sheet2"/>
      <sheetName val="Page_2_-_Revision_History2"/>
      <sheetName val="Page_3_-_Contents2"/>
      <sheetName val="Page_4_-_Abbreviations2"/>
      <sheetName val="Page_5_-_Holds2"/>
      <sheetName val="Page_6_-_Notes2"/>
      <sheetName val="Page_7_-_Process_Data2"/>
      <sheetName val="Page_8-_Mechanical_Data2"/>
      <sheetName val="Page_9_-_Mechanical_Data2"/>
      <sheetName val="Page_10-_Equip_Sketch2"/>
      <sheetName val="Page_11_-_TP_Data2"/>
      <sheetName val="Page_12_-_Weight_Data2"/>
      <sheetName val="Page_13_-_Noise_Data2"/>
      <sheetName val="LV induction motors"/>
      <sheetName val="DropDown Menu"/>
      <sheetName val="예산M11A"/>
      <sheetName val="Calca"/>
      <sheetName val="JU-05690-HST-DTS-M-2016 Rev A ("/>
      <sheetName val="PCV-048 &amp; TCV-013"/>
      <sheetName val="JU-05690-HST-DTS-M-2016%20Rev%2"/>
      <sheetName val="Load List2"/>
      <sheetName val="eq_data"/>
      <sheetName val="Sheet1"/>
      <sheetName val="Comparison Sheet"/>
      <sheetName val=""/>
      <sheetName val="Page_1_-_Front_Sheet3"/>
      <sheetName val="Page_2_-_Revision_History3"/>
      <sheetName val="Page_3_-_Contents3"/>
      <sheetName val="Page_4_-_Abbreviations3"/>
      <sheetName val="Page_5_-_Holds3"/>
      <sheetName val="Page_6_-_Notes3"/>
      <sheetName val="Page_7_-_Process_Data3"/>
      <sheetName val="Page_8-_Mechanical_Data3"/>
      <sheetName val="Page_9_-_Mechanical_Data3"/>
      <sheetName val="Page_10-_Equip_Sketch3"/>
      <sheetName val="Page_11_-_TP_Data3"/>
      <sheetName val="Page_12_-_Weight_Data3"/>
      <sheetName val="Page_13_-_Noise_Data3"/>
      <sheetName val="LV_induction_motors"/>
      <sheetName val="DropDown_Menu"/>
      <sheetName val="JU-05690-HST-DTS-M-2016_Rev_A_("/>
      <sheetName val="PCV-048_&amp;_TCV-013"/>
      <sheetName val="Load_List2"/>
      <sheetName val="Comparison_Sheet"/>
      <sheetName val="Page_1_-_Front_Sheet4"/>
      <sheetName val="Page_2_-_Revision_History4"/>
      <sheetName val="Page_3_-_Contents4"/>
      <sheetName val="Page_4_-_Abbreviations4"/>
      <sheetName val="Page_5_-_Holds4"/>
      <sheetName val="Page_6_-_Notes4"/>
      <sheetName val="Page_7_-_Process_Data4"/>
      <sheetName val="Page_8-_Mechanical_Data4"/>
      <sheetName val="Page_9_-_Mechanical_Data4"/>
      <sheetName val="Page_10-_Equip_Sketch4"/>
      <sheetName val="Page_11_-_TP_Data4"/>
      <sheetName val="Page_12_-_Weight_Data4"/>
      <sheetName val="Page_13_-_Noise_Data4"/>
      <sheetName val="LV_induction_motors1"/>
      <sheetName val="DropDown_Menu1"/>
      <sheetName val="JU-05690-HST-DTS-M-2016_Rev_A_1"/>
      <sheetName val="PCV-048_&amp;_TCV-0131"/>
      <sheetName val="Load_List21"/>
      <sheetName val="Comparison_Sheet1"/>
      <sheetName val="Page_1_-_Front_Sheet6"/>
      <sheetName val="Page_2_-_Revision_History6"/>
      <sheetName val="Page_3_-_Contents6"/>
      <sheetName val="Page_4_-_Abbreviations6"/>
      <sheetName val="Page_5_-_Holds6"/>
      <sheetName val="Page_6_-_Notes6"/>
      <sheetName val="Page_7_-_Process_Data6"/>
      <sheetName val="Page_8-_Mechanical_Data6"/>
      <sheetName val="Page_9_-_Mechanical_Data6"/>
      <sheetName val="Page_10-_Equip_Sketch6"/>
      <sheetName val="Page_11_-_TP_Data6"/>
      <sheetName val="Page_12_-_Weight_Data6"/>
      <sheetName val="Page_13_-_Noise_Data6"/>
      <sheetName val="LV_induction_motors3"/>
      <sheetName val="DropDown_Menu3"/>
      <sheetName val="JU-05690-HST-DTS-M-2016_Rev_A_3"/>
      <sheetName val="PCV-048_&amp;_TCV-0133"/>
      <sheetName val="Load_List23"/>
      <sheetName val="Comparison_Sheet3"/>
      <sheetName val="Page_1_-_Front_Sheet5"/>
      <sheetName val="Page_2_-_Revision_History5"/>
      <sheetName val="Page_3_-_Contents5"/>
      <sheetName val="Page_4_-_Abbreviations5"/>
      <sheetName val="Page_5_-_Holds5"/>
      <sheetName val="Page_6_-_Notes5"/>
      <sheetName val="Page_7_-_Process_Data5"/>
      <sheetName val="Page_8-_Mechanical_Data5"/>
      <sheetName val="Page_9_-_Mechanical_Data5"/>
      <sheetName val="Page_10-_Equip_Sketch5"/>
      <sheetName val="Page_11_-_TP_Data5"/>
      <sheetName val="Page_12_-_Weight_Data5"/>
      <sheetName val="Page_13_-_Noise_Data5"/>
      <sheetName val="LV_induction_motors2"/>
      <sheetName val="DropDown_Menu2"/>
      <sheetName val="JU-05690-HST-DTS-M-2016_Rev_A_2"/>
      <sheetName val="PCV-048_&amp;_TCV-0132"/>
      <sheetName val="Load_List22"/>
      <sheetName val="Comparison_Sheet2"/>
      <sheetName val="Page_1_-_Front_Sheet7"/>
      <sheetName val="Page_2_-_Revision_History7"/>
      <sheetName val="Page_3_-_Contents7"/>
      <sheetName val="Page_4_-_Abbreviations7"/>
      <sheetName val="Page_5_-_Holds7"/>
      <sheetName val="Page_6_-_Notes7"/>
      <sheetName val="Page_7_-_Process_Data7"/>
      <sheetName val="Page_8-_Mechanical_Data7"/>
      <sheetName val="Page_9_-_Mechanical_Data7"/>
      <sheetName val="Page_10-_Equip_Sketch7"/>
      <sheetName val="Page_11_-_TP_Data7"/>
      <sheetName val="Page_12_-_Weight_Data7"/>
      <sheetName val="Page_13_-_Noise_Data7"/>
      <sheetName val="LV_induction_motors4"/>
      <sheetName val="DropDown_Menu4"/>
      <sheetName val="JU-05690-HST-DTS-M-2016_Rev_A_4"/>
      <sheetName val="PCV-048_&amp;_TCV-0134"/>
      <sheetName val="Load_List24"/>
      <sheetName val="Comparison_Sheet4"/>
      <sheetName val="Page_1_-_Front_Sheet8"/>
      <sheetName val="Page_2_-_Revision_History8"/>
      <sheetName val="Page_3_-_Contents8"/>
      <sheetName val="Page_4_-_Abbreviations8"/>
      <sheetName val="Page_5_-_Holds8"/>
      <sheetName val="Page_6_-_Notes8"/>
      <sheetName val="Page_7_-_Process_Data8"/>
      <sheetName val="Page_8-_Mechanical_Data8"/>
      <sheetName val="Page_9_-_Mechanical_Data8"/>
      <sheetName val="Page_10-_Equip_Sketch8"/>
      <sheetName val="Page_11_-_TP_Data8"/>
      <sheetName val="Page_12_-_Weight_Data8"/>
      <sheetName val="Page_13_-_Noise_Data8"/>
      <sheetName val="LV_induction_motors5"/>
      <sheetName val="DropDown_Menu5"/>
      <sheetName val="JU-05690-HST-DTS-M-2016_Rev_A_5"/>
      <sheetName val="PCV-048_&amp;_TCV-0135"/>
      <sheetName val="Load_List25"/>
      <sheetName val="Comparison_Sheet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R Old"/>
      <sheetName val="DAR"/>
      <sheetName val="FM200-SI"/>
      <sheetName val="FM200-Imperial"/>
      <sheetName val="Cylinder Sizes"/>
      <sheetName val="Data"/>
      <sheetName val="Cup Burner Extinguishing Value"/>
      <sheetName val="Personal Notes"/>
      <sheetName val="About FM200 Calculator"/>
      <sheetName val="DAR_Old"/>
      <sheetName val="Cylinder_Sizes"/>
      <sheetName val="Cup_Burner_Extinguishing_Value"/>
      <sheetName val="Personal_Notes"/>
      <sheetName val="About_FM200_Calculator"/>
      <sheetName val="FM200-Calculator"/>
      <sheetName val="DAR_Old1"/>
      <sheetName val="Cylinder_Sizes1"/>
      <sheetName val="Cup_Burner_Extinguishing_Value1"/>
      <sheetName val="Personal_Notes1"/>
      <sheetName val="About_FM200_Calculator1"/>
      <sheetName val="DAR_Old2"/>
      <sheetName val="Cylinder_Sizes2"/>
      <sheetName val="Cup_Burner_Extinguishing_Value2"/>
      <sheetName val="Personal_Notes2"/>
      <sheetName val="About_FM200_Calculator2"/>
      <sheetName val="DAR_Old3"/>
      <sheetName val="Cylinder_Sizes3"/>
      <sheetName val="Cup_Burner_Extinguishing_Value3"/>
      <sheetName val="Personal_Notes3"/>
      <sheetName val="About_FM200_Calculator3"/>
      <sheetName val="DAR_Old4"/>
      <sheetName val="Cylinder_Sizes4"/>
      <sheetName val="Cup_Burner_Extinguishing_Value4"/>
      <sheetName val="Personal_Notes4"/>
      <sheetName val="About_FM200_Calculator4"/>
      <sheetName val="DAR_Old5"/>
      <sheetName val="Cylinder_Sizes5"/>
      <sheetName val="Cup_Burner_Extinguishing_Value5"/>
      <sheetName val="Personal_Notes5"/>
      <sheetName val="About_FM200_Calculator5"/>
    </sheetNames>
    <sheetDataSet>
      <sheetData sheetId="0" refreshError="1"/>
      <sheetData sheetId="1" refreshError="1"/>
      <sheetData sheetId="2" refreshError="1"/>
      <sheetData sheetId="3" refreshError="1"/>
      <sheetData sheetId="4" refreshError="1"/>
      <sheetData sheetId="5">
        <row r="14">
          <cell r="E14">
            <v>-10</v>
          </cell>
        </row>
        <row r="15">
          <cell r="E15">
            <v>-5</v>
          </cell>
        </row>
        <row r="16">
          <cell r="E16">
            <v>0</v>
          </cell>
        </row>
        <row r="17">
          <cell r="E17">
            <v>5</v>
          </cell>
        </row>
        <row r="18">
          <cell r="E18">
            <v>10</v>
          </cell>
        </row>
        <row r="19">
          <cell r="E19">
            <v>15</v>
          </cell>
        </row>
        <row r="20">
          <cell r="E20">
            <v>20</v>
          </cell>
        </row>
        <row r="21">
          <cell r="E21">
            <v>25</v>
          </cell>
        </row>
        <row r="22">
          <cell r="E22">
            <v>30</v>
          </cell>
        </row>
        <row r="23">
          <cell r="E23">
            <v>35</v>
          </cell>
        </row>
        <row r="24">
          <cell r="E24">
            <v>40</v>
          </cell>
        </row>
        <row r="25">
          <cell r="E25">
            <v>45</v>
          </cell>
        </row>
        <row r="26">
          <cell r="E26">
            <v>50</v>
          </cell>
        </row>
        <row r="27">
          <cell r="E27">
            <v>55</v>
          </cell>
        </row>
        <row r="28">
          <cell r="E28">
            <v>60</v>
          </cell>
        </row>
        <row r="29">
          <cell r="E29">
            <v>65</v>
          </cell>
        </row>
        <row r="30">
          <cell r="E30">
            <v>70</v>
          </cell>
        </row>
        <row r="31">
          <cell r="E31">
            <v>75</v>
          </cell>
        </row>
        <row r="32">
          <cell r="E32">
            <v>80</v>
          </cell>
        </row>
        <row r="33">
          <cell r="E33">
            <v>85</v>
          </cell>
        </row>
        <row r="34">
          <cell r="E34">
            <v>90</v>
          </cell>
        </row>
        <row r="40">
          <cell r="C40">
            <v>6</v>
          </cell>
        </row>
        <row r="41">
          <cell r="C41">
            <v>7</v>
          </cell>
        </row>
        <row r="42">
          <cell r="C42">
            <v>8</v>
          </cell>
        </row>
        <row r="43">
          <cell r="C43">
            <v>9</v>
          </cell>
        </row>
        <row r="44">
          <cell r="C44">
            <v>10</v>
          </cell>
        </row>
        <row r="45">
          <cell r="C45">
            <v>11</v>
          </cell>
        </row>
        <row r="46">
          <cell r="C46">
            <v>12</v>
          </cell>
        </row>
        <row r="47">
          <cell r="C47">
            <v>13</v>
          </cell>
        </row>
        <row r="48">
          <cell r="C48">
            <v>14</v>
          </cell>
        </row>
        <row r="49">
          <cell r="C49">
            <v>15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 d'emploi"/>
      <sheetName val="Facturation"/>
      <sheetName val="Lists"/>
      <sheetName val="Copy order table"/>
    </sheetNames>
    <sheetDataSet>
      <sheetData sheetId="0"/>
      <sheetData sheetId="1"/>
      <sheetData sheetId="2"/>
      <sheetData sheetId="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ntt Chart Template"/>
      <sheetName val="Legend"/>
    </sheetNames>
    <sheetDataSet>
      <sheetData sheetId="0"/>
      <sheetData sheetId="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Table 1A"/>
      <sheetName val="Table 3"/>
      <sheetName val="Gasket"/>
      <sheetName val="Pipe"/>
      <sheetName val="Bolts"/>
      <sheetName val="Flange Factor"/>
      <sheetName val="Feuil1"/>
      <sheetName val="Feuil2"/>
    </sheetNames>
    <sheetDataSet>
      <sheetData sheetId="0"/>
      <sheetData sheetId="1"/>
      <sheetData sheetId="2"/>
      <sheetData sheetId="3"/>
      <sheetData sheetId="4"/>
      <sheetData sheetId="5"/>
      <sheetData sheetId="6"/>
      <sheetData sheetId="7"/>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1"/>
      <sheetName val="P2"/>
      <sheetName val="P3"/>
      <sheetName val="P4"/>
      <sheetName val="P5"/>
      <sheetName val="P6"/>
      <sheetName val="P7"/>
      <sheetName val="IP Table"/>
      <sheetName val="Connections"/>
    </sheetNames>
    <sheetDataSet>
      <sheetData sheetId="0"/>
      <sheetData sheetId="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uel d'utilisation"/>
      <sheetName val="Config Gestion Docs"/>
      <sheetName val="Config Codification Docs"/>
      <sheetName val="Liste Docs"/>
      <sheetName val="Pilotage Etude par Date"/>
      <sheetName val="Pilotage Visa NON répondu"/>
      <sheetName val=" S-Curve Engineering"/>
      <sheetName val="Liste Client"/>
    </sheetNames>
    <sheetDataSet>
      <sheetData sheetId="0"/>
      <sheetData sheetId="1"/>
      <sheetData sheetId="2"/>
      <sheetData sheetId="3"/>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I617"/>
      <sheetName val="Notes"/>
      <sheetName val="Units"/>
      <sheetName val="정부노임단가"/>
      <sheetName val="General Data"/>
      <sheetName val="api61"/>
      <sheetName val="Cab_Commodity Code."/>
      <sheetName val="Settings"/>
      <sheetName val="General_Data"/>
      <sheetName val="BOQ"/>
      <sheetName val="FIRE"/>
      <sheetName val="OIL SYST DATA SHTS"/>
      <sheetName val="PRICE-COMP"/>
      <sheetName val="General_Data1"/>
      <sheetName val="Cab_Commodity_Code_"/>
      <sheetName val="OIL_SYST_DATA_SHTS"/>
      <sheetName val="General_Data2"/>
      <sheetName val="Cab_Commodity_Code_1"/>
      <sheetName val="OIL_SYST_DATA_SHTS1"/>
      <sheetName val="General_Data4"/>
      <sheetName val="Cab_Commodity_Code_3"/>
      <sheetName val="OIL_SYST_DATA_SHTS3"/>
      <sheetName val="General_Data3"/>
      <sheetName val="Cab_Commodity_Code_2"/>
      <sheetName val="OIL_SYST_DATA_SHTS2"/>
      <sheetName val="General_Data5"/>
      <sheetName val="Cab_Commodity_Code_4"/>
      <sheetName val="OIL_SYST_DATA_SHTS4"/>
      <sheetName val="General_Data6"/>
      <sheetName val="Cab_Commodity_Code_5"/>
      <sheetName val="OIL_SYST_DATA_SHTS5"/>
    </sheetNames>
    <sheetDataSet>
      <sheetData sheetId="0"/>
      <sheetData sheetId="1">
        <row r="3">
          <cell r="B3" t="str">
            <v>units</v>
          </cell>
        </row>
      </sheetData>
      <sheetData sheetId="2" refreshError="1">
        <row r="3">
          <cell r="B3" t="str">
            <v>units</v>
          </cell>
          <cell r="C3" t="str">
            <v>std.gas.vol.flow.units</v>
          </cell>
          <cell r="D3" t="str">
            <v>inlet.gas.vol.flow</v>
          </cell>
          <cell r="E3" t="str">
            <v>std.gas.vol.flow</v>
          </cell>
          <cell r="F3" t="str">
            <v>gas.vol.flow</v>
          </cell>
          <cell r="G3" t="str">
            <v>liq.vol.flow.small</v>
          </cell>
          <cell r="H3" t="str">
            <v>liq.vol.flow.med</v>
          </cell>
          <cell r="I3" t="str">
            <v>liq.vol.flow.long</v>
          </cell>
          <cell r="J3" t="str">
            <v>flow.per.seal</v>
          </cell>
          <cell r="K3" t="str">
            <v>mass.flow.very.short</v>
          </cell>
          <cell r="L3" t="str">
            <v>mass.flow.short</v>
          </cell>
          <cell r="M3" t="str">
            <v>mass.flow.long</v>
          </cell>
          <cell r="N3" t="str">
            <v>press.abs</v>
          </cell>
          <cell r="O3" t="str">
            <v>press.abs.small</v>
          </cell>
          <cell r="P3" t="str">
            <v>press.gage</v>
          </cell>
          <cell r="Q3" t="str">
            <v>diff.press</v>
          </cell>
          <cell r="R3" t="str">
            <v>press.head</v>
          </cell>
          <cell r="S3" t="str">
            <v>press.load</v>
          </cell>
          <cell r="T3" t="str">
            <v>ref.press</v>
          </cell>
          <cell r="U3" t="str">
            <v>ref.press.5000</v>
          </cell>
          <cell r="V3" t="str">
            <v>press.wc.abs</v>
          </cell>
          <cell r="W3" t="str">
            <v>press.wc.diff</v>
          </cell>
          <cell r="X3" t="str">
            <v>press.hg.abs</v>
          </cell>
          <cell r="Y3" t="str">
            <v>sound.press</v>
          </cell>
          <cell r="Z3" t="str">
            <v>impeller.head</v>
          </cell>
          <cell r="AA3" t="str">
            <v>temp</v>
          </cell>
          <cell r="AB3" t="str">
            <v>ref.temp.60</v>
          </cell>
          <cell r="AC3" t="str">
            <v>ref.temp.100</v>
          </cell>
          <cell r="AD3" t="str">
            <v>ref.temp.150</v>
          </cell>
          <cell r="AE3" t="str">
            <v>ref.temp.212</v>
          </cell>
          <cell r="AF3" t="str">
            <v>force</v>
          </cell>
          <cell r="AG3" t="str">
            <v>force.large</v>
          </cell>
          <cell r="AH3" t="str">
            <v>brake.power</v>
          </cell>
          <cell r="AI3" t="str">
            <v>power</v>
          </cell>
          <cell r="AJ3" t="str">
            <v>power.large</v>
          </cell>
          <cell r="AK3" t="str">
            <v>power.elec</v>
          </cell>
          <cell r="AL3" t="str">
            <v>unit.power</v>
          </cell>
          <cell r="AM3" t="str">
            <v>unit.power.long</v>
          </cell>
          <cell r="AN3" t="str">
            <v>heat.rate</v>
          </cell>
          <cell r="AO3" t="str">
            <v>transfer.rate</v>
          </cell>
          <cell r="AP3" t="str">
            <v>power.rating</v>
          </cell>
          <cell r="AQ3" t="str">
            <v>power.unit.vol</v>
          </cell>
          <cell r="AR3" t="str">
            <v>steam.rate</v>
          </cell>
          <cell r="AS3" t="str">
            <v>power.density</v>
          </cell>
          <cell r="AT3" t="str">
            <v>power.heat</v>
          </cell>
          <cell r="AU3" t="str">
            <v>energy.heat</v>
          </cell>
          <cell r="AV3" t="str">
            <v>energy</v>
          </cell>
          <cell r="AW3" t="str">
            <v>energy.work</v>
          </cell>
          <cell r="AX3" t="str">
            <v>torque</v>
          </cell>
          <cell r="AY3" t="str">
            <v>unbalance</v>
          </cell>
          <cell r="AZ3" t="str">
            <v>moment.inertia</v>
          </cell>
          <cell r="BA3" t="str">
            <v>stiffness</v>
          </cell>
          <cell r="BB3" t="str">
            <v>stress</v>
          </cell>
          <cell r="BC3" t="str">
            <v>ampere</v>
          </cell>
          <cell r="BD3" t="str">
            <v>volt</v>
          </cell>
          <cell r="BE3" t="str">
            <v>ohm</v>
          </cell>
          <cell r="BF3" t="str">
            <v>cond.electric</v>
          </cell>
          <cell r="BG3" t="str">
            <v>control.signal</v>
          </cell>
          <cell r="BH3" t="str">
            <v>time.sec</v>
          </cell>
          <cell r="BI3" t="str">
            <v>time.min</v>
          </cell>
          <cell r="BJ3" t="str">
            <v>time.hr</v>
          </cell>
          <cell r="BK3" t="str">
            <v>time.day</v>
          </cell>
          <cell r="BL3" t="str">
            <v>freq.hz</v>
          </cell>
          <cell r="BM3" t="str">
            <v>vel.small</v>
          </cell>
          <cell r="BN3" t="str">
            <v>vel.med</v>
          </cell>
          <cell r="BO3" t="str">
            <v>vel.large</v>
          </cell>
          <cell r="BP3" t="str">
            <v>ang.vel</v>
          </cell>
          <cell r="BQ3" t="str">
            <v>accel</v>
          </cell>
          <cell r="BR3" t="str">
            <v>length.veryshort</v>
          </cell>
          <cell r="BS3" t="str">
            <v>length.short</v>
          </cell>
          <cell r="BT3" t="str">
            <v>length.med</v>
          </cell>
          <cell r="BU3" t="str">
            <v>length.long</v>
          </cell>
          <cell r="BV3" t="str">
            <v>taper</v>
          </cell>
          <cell r="BW3" t="str">
            <v>ref.length3ft</v>
          </cell>
          <cell r="BX3" t="str">
            <v>ref.elev</v>
          </cell>
          <cell r="BY3" t="str">
            <v>area.small</v>
          </cell>
          <cell r="BZ3" t="str">
            <v>area.med</v>
          </cell>
          <cell r="CA3" t="str">
            <v>area.large</v>
          </cell>
          <cell r="CB3" t="str">
            <v>plane.angle</v>
          </cell>
          <cell r="CC3" t="str">
            <v>mass.small</v>
          </cell>
          <cell r="CD3" t="str">
            <v>mass.large</v>
          </cell>
          <cell r="CE3" t="str">
            <v>vol.small</v>
          </cell>
          <cell r="CF3" t="str">
            <v>vol.large</v>
          </cell>
          <cell r="CG3" t="str">
            <v>vol.length.small</v>
          </cell>
          <cell r="CH3" t="str">
            <v>vol.length.med</v>
          </cell>
          <cell r="CI3" t="str">
            <v>vol.length.large</v>
          </cell>
          <cell r="CJ3" t="str">
            <v>mass.per.vol.small</v>
          </cell>
          <cell r="CK3" t="str">
            <v>abs.visc</v>
          </cell>
          <cell r="CL3" t="str">
            <v>kin.visc</v>
          </cell>
          <cell r="CM3" t="str">
            <v>kin.visc.ssu</v>
          </cell>
          <cell r="CN3" t="str">
            <v>kin.visc.at.ref.temp</v>
          </cell>
          <cell r="CO3" t="str">
            <v>kin.visc.at.ref.temp.212</v>
          </cell>
          <cell r="CP3" t="str">
            <v>mass.density</v>
          </cell>
          <cell r="CQ3" t="str">
            <v>gas.density</v>
          </cell>
          <cell r="CR3" t="str">
            <v>mass.mol</v>
          </cell>
          <cell r="CS3" t="str">
            <v>mol.weight</v>
          </cell>
          <cell r="CT3" t="str">
            <v>therm.cond</v>
          </cell>
          <cell r="CU3" t="str">
            <v>lat.heat.vap</v>
          </cell>
          <cell r="CV3" t="str">
            <v>spec.weight</v>
          </cell>
          <cell r="CW3" t="str">
            <v>spec.heat</v>
          </cell>
          <cell r="CX3" t="str">
            <v>enthalpy</v>
          </cell>
          <cell r="CY3" t="str">
            <v>heat.value</v>
          </cell>
          <cell r="CZ3" t="str">
            <v>foul.factor</v>
          </cell>
        </row>
        <row r="4">
          <cell r="B4" t="str">
            <v>U.S. CUSTOMARY</v>
          </cell>
          <cell r="C4" t="str">
            <v>MMSCFD/SCFM</v>
          </cell>
          <cell r="D4" t="str">
            <v>(icfm)</v>
          </cell>
          <cell r="E4" t="str">
            <v>(scfm)</v>
          </cell>
          <cell r="F4" t="str">
            <v>(cfm)</v>
          </cell>
          <cell r="G4" t="str">
            <v>(gph)</v>
          </cell>
          <cell r="H4" t="str">
            <v>(gpm)</v>
          </cell>
          <cell r="I4" t="str">
            <v>(gpm)</v>
          </cell>
          <cell r="J4" t="str">
            <v>(gal/day/seal)</v>
          </cell>
          <cell r="K4" t="str">
            <v>(lb/sec)</v>
          </cell>
          <cell r="L4" t="str">
            <v>(lb/min)</v>
          </cell>
          <cell r="M4" t="str">
            <v>(lb/hr)</v>
          </cell>
          <cell r="N4" t="str">
            <v>(psia)</v>
          </cell>
          <cell r="O4" t="str">
            <v>(psia)</v>
          </cell>
          <cell r="P4" t="str">
            <v>(psig)</v>
          </cell>
          <cell r="Q4" t="str">
            <v>(psi)</v>
          </cell>
          <cell r="R4" t="str">
            <v>(ft)</v>
          </cell>
          <cell r="S4" t="str">
            <v>(lb/ft²)</v>
          </cell>
          <cell r="T4" t="str">
            <v>(14.7 psia &amp; 60°F DRY)</v>
          </cell>
          <cell r="U4" t="str">
            <v>5000 psi</v>
          </cell>
          <cell r="V4" t="str">
            <v>(in H2O abs)</v>
          </cell>
          <cell r="W4" t="str">
            <v>(in H2O)</v>
          </cell>
          <cell r="X4" t="str">
            <v>(in Hg abs)</v>
          </cell>
          <cell r="Y4" t="str">
            <v>(dBA)</v>
          </cell>
          <cell r="Z4" t="str">
            <v>(ft-lb/lb)</v>
          </cell>
          <cell r="AA4" t="str">
            <v>(°F)</v>
          </cell>
          <cell r="AB4" t="str">
            <v>(@ 60 °F)</v>
          </cell>
          <cell r="AC4" t="str">
            <v>(@ 100 °F)</v>
          </cell>
          <cell r="AD4" t="str">
            <v>(@ 150 °F)</v>
          </cell>
          <cell r="AE4" t="str">
            <v>(@ 212 °F)</v>
          </cell>
          <cell r="AF4" t="str">
            <v>(lb)</v>
          </cell>
          <cell r="AG4" t="str">
            <v>(lb)</v>
          </cell>
          <cell r="AH4" t="str">
            <v>(BHP)</v>
          </cell>
          <cell r="AI4" t="str">
            <v>(HP)</v>
          </cell>
          <cell r="AJ4" t="str">
            <v>(HP)</v>
          </cell>
          <cell r="AK4" t="str">
            <v>(kW)</v>
          </cell>
          <cell r="AL4" t="str">
            <v>(BTU/min)</v>
          </cell>
          <cell r="AM4" t="str">
            <v>(BTU/hr)</v>
          </cell>
          <cell r="AN4" t="str">
            <v>(BTU/HP-hr)</v>
          </cell>
          <cell r="AO4" t="str">
            <v>(BTU/hr ft² °F)</v>
          </cell>
          <cell r="AP4" t="str">
            <v>(HP/100 rpm)</v>
          </cell>
          <cell r="AQ4" t="str">
            <v>(BHP/100 CFM)</v>
          </cell>
          <cell r="AR4" t="str">
            <v>(lb/hp-hr)</v>
          </cell>
          <cell r="AS4" t="str">
            <v>(W/in²)</v>
          </cell>
          <cell r="AT4" t="str">
            <v>(BTU/min)</v>
          </cell>
          <cell r="AU4" t="str">
            <v>(BTU)</v>
          </cell>
          <cell r="AV4" t="str">
            <v>(BTU)</v>
          </cell>
          <cell r="AW4" t="str">
            <v>(ft-lb)</v>
          </cell>
          <cell r="AX4" t="str">
            <v>(ft-lb)</v>
          </cell>
          <cell r="AY4" t="str">
            <v>(oz-in)</v>
          </cell>
          <cell r="AZ4" t="str">
            <v>(lb-ft²)</v>
          </cell>
          <cell r="BA4" t="str">
            <v>(lb-in/rad)</v>
          </cell>
          <cell r="BB4" t="str">
            <v>(psi)</v>
          </cell>
          <cell r="BC4" t="str">
            <v>(A)</v>
          </cell>
          <cell r="BD4" t="str">
            <v>(V)</v>
          </cell>
          <cell r="BE4" t="str">
            <v>(ohm)</v>
          </cell>
          <cell r="BF4" t="str">
            <v>(Mho)</v>
          </cell>
          <cell r="BG4" t="str">
            <v>(psig/mA)</v>
          </cell>
          <cell r="BH4" t="str">
            <v>(sec)</v>
          </cell>
          <cell r="BI4" t="str">
            <v>(min)</v>
          </cell>
          <cell r="BJ4" t="str">
            <v>(hr)</v>
          </cell>
          <cell r="BK4" t="str">
            <v>(days)</v>
          </cell>
          <cell r="BL4" t="str">
            <v>(Hz)</v>
          </cell>
          <cell r="BM4" t="str">
            <v>(fps)</v>
          </cell>
          <cell r="BN4" t="str">
            <v>(ft/min)</v>
          </cell>
          <cell r="BO4" t="str">
            <v>(mph)</v>
          </cell>
          <cell r="BP4" t="str">
            <v>(rpm)</v>
          </cell>
          <cell r="BQ4" t="str">
            <v>(in./sec²)</v>
          </cell>
          <cell r="BR4" t="str">
            <v>(mil)</v>
          </cell>
          <cell r="BS4" t="str">
            <v>(in)</v>
          </cell>
          <cell r="BT4" t="str">
            <v>(ft)</v>
          </cell>
          <cell r="BU4" t="str">
            <v>(mi)</v>
          </cell>
          <cell r="BV4" t="str">
            <v>(in/ft)</v>
          </cell>
          <cell r="BW4" t="str">
            <v>(@ 3 Ft)</v>
          </cell>
          <cell r="BX4" t="str">
            <v>(3300 ft)</v>
          </cell>
          <cell r="BY4" t="str">
            <v>(in²)</v>
          </cell>
          <cell r="BZ4" t="str">
            <v>(ft²)</v>
          </cell>
          <cell r="CA4" t="str">
            <v>(ft²)</v>
          </cell>
          <cell r="CB4" t="str">
            <v>(degree)</v>
          </cell>
          <cell r="CC4" t="str">
            <v>(ounces)</v>
          </cell>
          <cell r="CD4" t="str">
            <v>(lb)</v>
          </cell>
          <cell r="CE4" t="str">
            <v>(gal)</v>
          </cell>
          <cell r="CF4" t="str">
            <v>(gal)</v>
          </cell>
          <cell r="CG4" t="str">
            <v>(in³)</v>
          </cell>
          <cell r="CH4" t="str">
            <v>(in³)</v>
          </cell>
          <cell r="CI4" t="str">
            <v>(ft³)</v>
          </cell>
          <cell r="CJ4" t="str">
            <v>(ppm)</v>
          </cell>
          <cell r="CK4" t="str">
            <v>(cP)</v>
          </cell>
          <cell r="CL4" t="str">
            <v>(cSt)</v>
          </cell>
          <cell r="CM4" t="str">
            <v>(SSU)</v>
          </cell>
          <cell r="CN4" t="str">
            <v>(SSU @ 100°F)</v>
          </cell>
          <cell r="CO4" t="str">
            <v>(SSU @ 212°F)</v>
          </cell>
          <cell r="CP4" t="str">
            <v>(lb/ft³)</v>
          </cell>
          <cell r="CQ4" t="str">
            <v>(scf/gal)</v>
          </cell>
          <cell r="CR4" t="str">
            <v>(lb/lb mol)</v>
          </cell>
          <cell r="CS4" t="str">
            <v>(MW)</v>
          </cell>
          <cell r="CT4" t="str">
            <v>(Btu/ft h °F)</v>
          </cell>
          <cell r="CU4" t="str">
            <v>(Btu/lb mol)</v>
          </cell>
          <cell r="CV4" t="str">
            <v>(lbf/ft³)</v>
          </cell>
          <cell r="CW4" t="str">
            <v>(BTU/lb °F)</v>
          </cell>
          <cell r="CX4" t="str">
            <v>(Btu/lb)</v>
          </cell>
          <cell r="CY4" t="str">
            <v>(BTU/ft³)</v>
          </cell>
          <cell r="CZ4" t="str">
            <v>(hr ft²°F/BTU)</v>
          </cell>
        </row>
        <row r="5">
          <cell r="B5" t="str">
            <v>SI UNITS (bar)</v>
          </cell>
          <cell r="C5" t="str">
            <v>M³/H</v>
          </cell>
          <cell r="D5" t="str">
            <v>(m³/h)</v>
          </cell>
          <cell r="E5" t="str">
            <v>(m³/h)</v>
          </cell>
          <cell r="F5" t="str">
            <v>(m³/h)</v>
          </cell>
          <cell r="G5" t="str">
            <v>(L/min)</v>
          </cell>
          <cell r="H5" t="str">
            <v>(L/min)</v>
          </cell>
          <cell r="I5" t="str">
            <v>(m³/h)</v>
          </cell>
          <cell r="J5" t="str">
            <v>(l/day/seal)</v>
          </cell>
          <cell r="K5" t="str">
            <v>(kg/sec)</v>
          </cell>
          <cell r="L5" t="str">
            <v>(kg/h)</v>
          </cell>
          <cell r="M5" t="str">
            <v>(kg/h)</v>
          </cell>
          <cell r="N5" t="str">
            <v>(barA)</v>
          </cell>
          <cell r="O5" t="str">
            <v>(mbarA)</v>
          </cell>
          <cell r="P5" t="str">
            <v>(barG)</v>
          </cell>
          <cell r="Q5" t="str">
            <v>(bar)</v>
          </cell>
          <cell r="R5" t="str">
            <v>(m)</v>
          </cell>
          <cell r="S5" t="str">
            <v>(kg/m²)</v>
          </cell>
          <cell r="T5" t="str">
            <v>(1.013 barA &amp; 0°C DRY)</v>
          </cell>
          <cell r="U5" t="str">
            <v>345 kg/cm²</v>
          </cell>
          <cell r="V5" t="str">
            <v>(mm H2O abs)</v>
          </cell>
          <cell r="W5" t="str">
            <v>(mm H2O)</v>
          </cell>
          <cell r="X5" t="str">
            <v>(mm Hg abs)</v>
          </cell>
          <cell r="Y5" t="str">
            <v>(dBA)</v>
          </cell>
          <cell r="Z5" t="str">
            <v>(N-m/kg)</v>
          </cell>
          <cell r="AA5" t="str">
            <v>(°C)</v>
          </cell>
          <cell r="AB5" t="str">
            <v>(@ 15 °C)</v>
          </cell>
          <cell r="AC5" t="str">
            <v>(@ 37.7 °C)</v>
          </cell>
          <cell r="AD5" t="str">
            <v>(@ 65 °C)</v>
          </cell>
          <cell r="AE5" t="str">
            <v>(@ 100 °C)</v>
          </cell>
          <cell r="AF5" t="str">
            <v>(N)</v>
          </cell>
          <cell r="AG5" t="str">
            <v>(kN)</v>
          </cell>
          <cell r="AH5" t="str">
            <v>(BkW)</v>
          </cell>
          <cell r="AI5" t="str">
            <v>(kW)</v>
          </cell>
          <cell r="AJ5" t="str">
            <v>(MW)</v>
          </cell>
          <cell r="AK5" t="str">
            <v>(kW)</v>
          </cell>
          <cell r="AL5" t="str">
            <v>(kJ/min)</v>
          </cell>
          <cell r="AM5" t="str">
            <v>(kJ/hr)</v>
          </cell>
          <cell r="AN5" t="str">
            <v>(kJ/kW-hr)</v>
          </cell>
          <cell r="AO5" t="str">
            <v>(kJ/hr m² °C)</v>
          </cell>
          <cell r="AP5" t="str">
            <v>(kW/100 rpm)</v>
          </cell>
          <cell r="AQ5" t="str">
            <v>(BkW/ 100 m³/h)</v>
          </cell>
          <cell r="AR5" t="str">
            <v>(kg/kW-hr)</v>
          </cell>
          <cell r="AS5" t="str">
            <v>(W/in²)</v>
          </cell>
          <cell r="AT5" t="str">
            <v>(W)</v>
          </cell>
          <cell r="AU5" t="str">
            <v>(kJ)</v>
          </cell>
          <cell r="AV5" t="str">
            <v>(kW-h)</v>
          </cell>
          <cell r="AW5" t="str">
            <v>(J)</v>
          </cell>
          <cell r="AX5" t="str">
            <v>(N-m)</v>
          </cell>
          <cell r="AY5" t="str">
            <v>(g-mm)</v>
          </cell>
          <cell r="AZ5" t="str">
            <v>(kg-m²)</v>
          </cell>
          <cell r="BA5" t="str">
            <v>(kg-m/rad)</v>
          </cell>
          <cell r="BB5" t="str">
            <v>(MPa)</v>
          </cell>
          <cell r="BC5" t="str">
            <v>(A)</v>
          </cell>
          <cell r="BD5" t="str">
            <v>(V)</v>
          </cell>
          <cell r="BE5" t="str">
            <v>(ohm)</v>
          </cell>
          <cell r="BF5" t="str">
            <v>(Mho)</v>
          </cell>
          <cell r="BG5" t="str">
            <v>(barG/mA)</v>
          </cell>
          <cell r="BH5" t="str">
            <v>(sec)</v>
          </cell>
          <cell r="BI5" t="str">
            <v>(min)</v>
          </cell>
          <cell r="BJ5" t="str">
            <v>(hr)</v>
          </cell>
          <cell r="BK5" t="str">
            <v>(days)</v>
          </cell>
          <cell r="BL5" t="str">
            <v>(Hz)</v>
          </cell>
          <cell r="BM5" t="str">
            <v>(m/s)</v>
          </cell>
          <cell r="BN5" t="str">
            <v>(m/hr)</v>
          </cell>
          <cell r="BO5" t="str">
            <v>(km/h)</v>
          </cell>
          <cell r="BP5" t="str">
            <v>(rpm)</v>
          </cell>
          <cell r="BQ5" t="str">
            <v>(mm/sec²)</v>
          </cell>
          <cell r="BR5" t="str">
            <v>(µm)</v>
          </cell>
          <cell r="BS5" t="str">
            <v>(mm)</v>
          </cell>
          <cell r="BT5" t="str">
            <v>(m)</v>
          </cell>
          <cell r="BU5" t="str">
            <v>(km)</v>
          </cell>
          <cell r="BV5" t="str">
            <v>(mm/m)</v>
          </cell>
          <cell r="BW5" t="str">
            <v>(@ 1 m)</v>
          </cell>
          <cell r="BX5" t="str">
            <v>(1000 m)</v>
          </cell>
          <cell r="BY5" t="str">
            <v>(mm²)</v>
          </cell>
          <cell r="BZ5" t="str">
            <v>(cm²)</v>
          </cell>
          <cell r="CA5" t="str">
            <v>(m²)</v>
          </cell>
          <cell r="CB5" t="str">
            <v>(degree)</v>
          </cell>
          <cell r="CC5" t="str">
            <v>(g)</v>
          </cell>
          <cell r="CD5" t="str">
            <v>(kg)</v>
          </cell>
          <cell r="CE5" t="str">
            <v>(l)</v>
          </cell>
          <cell r="CF5" t="str">
            <v>(m³)</v>
          </cell>
          <cell r="CG5" t="str">
            <v>(mm³)</v>
          </cell>
          <cell r="CH5" t="str">
            <v>(cm³)</v>
          </cell>
          <cell r="CI5" t="str">
            <v>(m³)</v>
          </cell>
          <cell r="CJ5" t="str">
            <v>(ppm)</v>
          </cell>
          <cell r="CK5" t="str">
            <v>(mPa-s)</v>
          </cell>
          <cell r="CL5" t="str">
            <v>(mm²/s)</v>
          </cell>
          <cell r="CM5" t="str">
            <v>(SSU)</v>
          </cell>
          <cell r="CN5" t="str">
            <v>(SSU @ 37.7°C)</v>
          </cell>
          <cell r="CO5" t="str">
            <v>(SSU @ 100°C)</v>
          </cell>
          <cell r="CP5" t="str">
            <v>(kg/m³)</v>
          </cell>
          <cell r="CQ5" t="str">
            <v>(m³/L)</v>
          </cell>
          <cell r="CR5" t="str">
            <v>(lb/lb mol)</v>
          </cell>
          <cell r="CS5" t="str">
            <v>(MW)</v>
          </cell>
          <cell r="CT5" t="str">
            <v>(kJ/m h °C)</v>
          </cell>
          <cell r="CU5" t="str">
            <v>(kJ/kg mol)</v>
          </cell>
          <cell r="CV5" t="str">
            <v>(kN/m³)</v>
          </cell>
          <cell r="CW5" t="str">
            <v>(kJ/kg °C)</v>
          </cell>
          <cell r="CX5" t="str">
            <v>(kJ/kg)</v>
          </cell>
          <cell r="CY5" t="str">
            <v>(kJ/Nm³)</v>
          </cell>
          <cell r="CZ5" t="str">
            <v>(hr m² °C/kJ)</v>
          </cell>
        </row>
        <row r="6">
          <cell r="B6" t="str">
            <v>SI UNITS (kPa)</v>
          </cell>
          <cell r="C6" t="str">
            <v>M³/H</v>
          </cell>
          <cell r="D6" t="str">
            <v>(m³/h)</v>
          </cell>
          <cell r="E6" t="str">
            <v>(m³/h)</v>
          </cell>
          <cell r="F6" t="str">
            <v>(m³/h)</v>
          </cell>
          <cell r="G6" t="str">
            <v>(L/min)</v>
          </cell>
          <cell r="H6" t="str">
            <v>(L/min)</v>
          </cell>
          <cell r="I6" t="str">
            <v>(m³/h)</v>
          </cell>
          <cell r="J6" t="str">
            <v>(l/day/seal)</v>
          </cell>
          <cell r="K6" t="str">
            <v>(kg/sec)</v>
          </cell>
          <cell r="L6" t="str">
            <v>(kg/h)</v>
          </cell>
          <cell r="M6" t="str">
            <v>(kg/h)</v>
          </cell>
          <cell r="N6" t="str">
            <v>(kPaA)</v>
          </cell>
          <cell r="O6" t="str">
            <v>(mbarA)</v>
          </cell>
          <cell r="P6" t="str">
            <v>(kPaG)</v>
          </cell>
          <cell r="Q6" t="str">
            <v>(kPa)</v>
          </cell>
          <cell r="R6" t="str">
            <v>(m)</v>
          </cell>
          <cell r="S6" t="str">
            <v>(kg/m²)</v>
          </cell>
          <cell r="T6" t="str">
            <v>(101.3 kPaA &amp; 0°C DRY)</v>
          </cell>
          <cell r="U6" t="str">
            <v>34470 kPa</v>
          </cell>
          <cell r="V6" t="str">
            <v>(mm H2O abs)</v>
          </cell>
          <cell r="W6" t="str">
            <v>(mm H2O)</v>
          </cell>
          <cell r="X6" t="str">
            <v>(mm Hg abs)</v>
          </cell>
          <cell r="Y6" t="str">
            <v>(dBA)</v>
          </cell>
          <cell r="Z6" t="str">
            <v>(N-m/kg)</v>
          </cell>
          <cell r="AA6" t="str">
            <v>(°C)</v>
          </cell>
          <cell r="AB6" t="str">
            <v>(@ 15 °C)</v>
          </cell>
          <cell r="AC6" t="str">
            <v>(@ 37.7 °C)</v>
          </cell>
          <cell r="AD6" t="str">
            <v>(@ 65 °C)</v>
          </cell>
          <cell r="AE6" t="str">
            <v>(@ 100 °C)</v>
          </cell>
          <cell r="AF6" t="str">
            <v>(N)</v>
          </cell>
          <cell r="AG6" t="str">
            <v>(kN)</v>
          </cell>
          <cell r="AH6" t="str">
            <v>(BkW)</v>
          </cell>
          <cell r="AI6" t="str">
            <v>(kW)</v>
          </cell>
          <cell r="AJ6" t="str">
            <v>(MW)</v>
          </cell>
          <cell r="AK6" t="str">
            <v>(kW)</v>
          </cell>
          <cell r="AL6" t="str">
            <v>(kJ/min)</v>
          </cell>
          <cell r="AM6" t="str">
            <v>(kJ/hr)</v>
          </cell>
          <cell r="AN6" t="str">
            <v>(kJ/kW-hr)</v>
          </cell>
          <cell r="AO6" t="str">
            <v>(kJ/hr m² °C)</v>
          </cell>
          <cell r="AP6" t="str">
            <v>(kW/100 rpm)</v>
          </cell>
          <cell r="AQ6" t="str">
            <v>(BkW/ 100 m³/h)</v>
          </cell>
          <cell r="AR6" t="str">
            <v>(kg/kW-hr)</v>
          </cell>
          <cell r="AS6" t="str">
            <v>(W/in²)</v>
          </cell>
          <cell r="AT6" t="str">
            <v>(W)</v>
          </cell>
          <cell r="AU6" t="str">
            <v>(kJ)</v>
          </cell>
          <cell r="AV6" t="str">
            <v>(kW-h)</v>
          </cell>
          <cell r="AW6" t="str">
            <v>(J)</v>
          </cell>
          <cell r="AX6" t="str">
            <v>(N-m)</v>
          </cell>
          <cell r="AY6" t="str">
            <v>(g-mm)</v>
          </cell>
          <cell r="AZ6" t="str">
            <v>(kg-m²)</v>
          </cell>
          <cell r="BA6" t="str">
            <v>(kg-m/rad)</v>
          </cell>
          <cell r="BB6" t="str">
            <v>(MPa)</v>
          </cell>
          <cell r="BC6" t="str">
            <v>(A)</v>
          </cell>
          <cell r="BD6" t="str">
            <v>(V)</v>
          </cell>
          <cell r="BE6" t="str">
            <v>(ohm)</v>
          </cell>
          <cell r="BF6" t="str">
            <v>(Mho)</v>
          </cell>
          <cell r="BG6" t="str">
            <v>(kPaG/mA)</v>
          </cell>
          <cell r="BH6" t="str">
            <v>(sec)</v>
          </cell>
          <cell r="BI6" t="str">
            <v>(min)</v>
          </cell>
          <cell r="BJ6" t="str">
            <v>(hr)</v>
          </cell>
          <cell r="BK6" t="str">
            <v>(days)</v>
          </cell>
          <cell r="BL6" t="str">
            <v>(Hz)</v>
          </cell>
          <cell r="BM6" t="str">
            <v>(m/s)</v>
          </cell>
          <cell r="BN6" t="str">
            <v>(m/hr)</v>
          </cell>
          <cell r="BO6" t="str">
            <v>(km/h)</v>
          </cell>
          <cell r="BP6" t="str">
            <v>(rpm)</v>
          </cell>
          <cell r="BQ6" t="str">
            <v>(mm/sec²)</v>
          </cell>
          <cell r="BR6" t="str">
            <v>(µm)</v>
          </cell>
          <cell r="BS6" t="str">
            <v>(mm)</v>
          </cell>
          <cell r="BT6" t="str">
            <v>(m)</v>
          </cell>
          <cell r="BU6" t="str">
            <v>(km)</v>
          </cell>
          <cell r="BV6" t="str">
            <v>(mm/m)</v>
          </cell>
          <cell r="BW6" t="str">
            <v>(@ 1 m)</v>
          </cell>
          <cell r="BX6" t="str">
            <v>(1000 m)</v>
          </cell>
          <cell r="BY6" t="str">
            <v>(mm²)</v>
          </cell>
          <cell r="BZ6" t="str">
            <v>(cm²)</v>
          </cell>
          <cell r="CA6" t="str">
            <v>(m²)</v>
          </cell>
          <cell r="CB6" t="str">
            <v>(degree)</v>
          </cell>
          <cell r="CC6" t="str">
            <v>(g)</v>
          </cell>
          <cell r="CD6" t="str">
            <v>(kg)</v>
          </cell>
          <cell r="CE6" t="str">
            <v>(l)</v>
          </cell>
          <cell r="CF6" t="str">
            <v>(m³)</v>
          </cell>
          <cell r="CG6" t="str">
            <v>(mm³)</v>
          </cell>
          <cell r="CH6" t="str">
            <v>(cm³)</v>
          </cell>
          <cell r="CI6" t="str">
            <v>(m³)</v>
          </cell>
          <cell r="CJ6" t="str">
            <v>(ppm)</v>
          </cell>
          <cell r="CK6" t="str">
            <v>(mPa-s)</v>
          </cell>
          <cell r="CL6" t="str">
            <v>(mm²/s)</v>
          </cell>
          <cell r="CM6" t="str">
            <v>(SSU)</v>
          </cell>
          <cell r="CN6" t="str">
            <v>(SSU @ 37.7°C)</v>
          </cell>
          <cell r="CO6" t="str">
            <v>(SSU @ 100°C)</v>
          </cell>
          <cell r="CP6" t="str">
            <v>(kg/m³)</v>
          </cell>
          <cell r="CQ6" t="str">
            <v>(m³/L)</v>
          </cell>
          <cell r="CR6" t="str">
            <v>(lb/lb mol)</v>
          </cell>
          <cell r="CS6" t="str">
            <v>(MW)</v>
          </cell>
          <cell r="CT6" t="str">
            <v>(kJ/m h °C)</v>
          </cell>
          <cell r="CU6" t="str">
            <v>(kJ/kg mol)</v>
          </cell>
          <cell r="CV6" t="str">
            <v>(kN/m³)</v>
          </cell>
          <cell r="CW6" t="str">
            <v>(kJ/kg °C)</v>
          </cell>
          <cell r="CX6" t="str">
            <v>(kJ/kg)</v>
          </cell>
          <cell r="CY6" t="str">
            <v>(kJ/Nm³)</v>
          </cell>
          <cell r="CZ6" t="str">
            <v>(hr m² °C/kJ)</v>
          </cell>
        </row>
        <row r="7">
          <cell r="B7" t="str">
            <v>METRIC (kg/cm2)</v>
          </cell>
          <cell r="C7" t="str">
            <v>M³/H</v>
          </cell>
          <cell r="D7" t="str">
            <v>(m³/h)</v>
          </cell>
          <cell r="E7" t="str">
            <v>(m³/h)</v>
          </cell>
          <cell r="F7" t="str">
            <v>(m³/h)</v>
          </cell>
          <cell r="G7" t="str">
            <v>(L/min)</v>
          </cell>
          <cell r="H7" t="str">
            <v>(L/min)</v>
          </cell>
          <cell r="I7" t="str">
            <v>(m³/h)</v>
          </cell>
          <cell r="J7" t="str">
            <v>(l/day/seal)</v>
          </cell>
          <cell r="K7" t="str">
            <v>(kg/sec)</v>
          </cell>
          <cell r="L7" t="str">
            <v>(kg/h)</v>
          </cell>
          <cell r="M7" t="str">
            <v>(kg/h)</v>
          </cell>
          <cell r="N7" t="str">
            <v>(kg/cm²A)</v>
          </cell>
          <cell r="O7" t="str">
            <v>(mbarA)</v>
          </cell>
          <cell r="P7" t="str">
            <v>(kg/cm²G)</v>
          </cell>
          <cell r="Q7" t="str">
            <v>(kg/cm²)</v>
          </cell>
          <cell r="R7" t="str">
            <v>(m)</v>
          </cell>
          <cell r="S7" t="str">
            <v>(kg/m²)</v>
          </cell>
          <cell r="T7" t="str">
            <v>(1.033 kg/cm²A &amp; 0°C DRY)</v>
          </cell>
          <cell r="U7" t="str">
            <v>353 kg/cm²</v>
          </cell>
          <cell r="V7" t="str">
            <v>(mm H2O abs)</v>
          </cell>
          <cell r="W7" t="str">
            <v>(mm H2O)</v>
          </cell>
          <cell r="X7" t="str">
            <v>(mm Hg abs)</v>
          </cell>
          <cell r="Y7" t="str">
            <v>(dBA)</v>
          </cell>
          <cell r="Z7" t="str">
            <v>(N-m/kg)</v>
          </cell>
          <cell r="AA7" t="str">
            <v>(°C)</v>
          </cell>
          <cell r="AB7" t="str">
            <v>(@ 15 °C)</v>
          </cell>
          <cell r="AC7" t="str">
            <v>(@ 37.7 °C)</v>
          </cell>
          <cell r="AD7" t="str">
            <v>(@ 65 °C)</v>
          </cell>
          <cell r="AE7" t="str">
            <v>(@ 100 °C)</v>
          </cell>
          <cell r="AF7" t="str">
            <v>(N)</v>
          </cell>
          <cell r="AG7" t="str">
            <v>(kN)</v>
          </cell>
          <cell r="AH7" t="str">
            <v>(BkW)</v>
          </cell>
          <cell r="AI7" t="str">
            <v>(kW)</v>
          </cell>
          <cell r="AJ7" t="str">
            <v>(MW)</v>
          </cell>
          <cell r="AK7" t="str">
            <v>(kW)</v>
          </cell>
          <cell r="AL7" t="str">
            <v>(kJ/min)</v>
          </cell>
          <cell r="AM7" t="str">
            <v>(kJ/hr)</v>
          </cell>
          <cell r="AN7" t="str">
            <v>(kJ/kW-hr)</v>
          </cell>
          <cell r="AO7" t="str">
            <v>(kJ/hr m² °C)</v>
          </cell>
          <cell r="AP7" t="str">
            <v>(kW/100 rpm)</v>
          </cell>
          <cell r="AQ7" t="str">
            <v>(BkW/ 100 m³/h)</v>
          </cell>
          <cell r="AR7" t="str">
            <v>(kg/kW-hr)</v>
          </cell>
          <cell r="AS7" t="str">
            <v>(W/in²)</v>
          </cell>
          <cell r="AT7" t="str">
            <v>(W)</v>
          </cell>
          <cell r="AU7" t="str">
            <v>(kJ)</v>
          </cell>
          <cell r="AV7" t="str">
            <v>(kW-h)</v>
          </cell>
          <cell r="AW7" t="str">
            <v>(J)</v>
          </cell>
          <cell r="AX7" t="str">
            <v>(N-m)</v>
          </cell>
          <cell r="AY7" t="str">
            <v>(g-mm)</v>
          </cell>
          <cell r="AZ7" t="str">
            <v>(kg-m²)</v>
          </cell>
          <cell r="BA7" t="str">
            <v>(kg-m/rad)</v>
          </cell>
          <cell r="BB7" t="str">
            <v>(MPa)</v>
          </cell>
          <cell r="BC7" t="str">
            <v>(A)</v>
          </cell>
          <cell r="BD7" t="str">
            <v>(V)</v>
          </cell>
          <cell r="BE7" t="str">
            <v>(ohm)</v>
          </cell>
          <cell r="BF7" t="str">
            <v>(Mho)</v>
          </cell>
          <cell r="BG7" t="str">
            <v>(kg/cm²G/mA)</v>
          </cell>
          <cell r="BH7" t="str">
            <v>(sec)</v>
          </cell>
          <cell r="BI7" t="str">
            <v>(min)</v>
          </cell>
          <cell r="BJ7" t="str">
            <v>(hr)</v>
          </cell>
          <cell r="BK7" t="str">
            <v>(days)</v>
          </cell>
          <cell r="BL7" t="str">
            <v>(Hz)</v>
          </cell>
          <cell r="BM7" t="str">
            <v>(m/s)</v>
          </cell>
          <cell r="BN7" t="str">
            <v>(m/hr)</v>
          </cell>
          <cell r="BO7" t="str">
            <v>(km/h)</v>
          </cell>
          <cell r="BP7" t="str">
            <v>(rpm)</v>
          </cell>
          <cell r="BQ7" t="str">
            <v>(mm/sec²)</v>
          </cell>
          <cell r="BR7" t="str">
            <v>(µm)</v>
          </cell>
          <cell r="BS7" t="str">
            <v>(mm)</v>
          </cell>
          <cell r="BT7" t="str">
            <v>(m)</v>
          </cell>
          <cell r="BU7" t="str">
            <v>(km)</v>
          </cell>
          <cell r="BV7" t="str">
            <v>(mm/m)</v>
          </cell>
          <cell r="BW7" t="str">
            <v>(@ 1 m)</v>
          </cell>
          <cell r="BX7" t="str">
            <v>(1000 m)</v>
          </cell>
          <cell r="BY7" t="str">
            <v>(mm²)</v>
          </cell>
          <cell r="BZ7" t="str">
            <v>(cm²)</v>
          </cell>
          <cell r="CA7" t="str">
            <v>(m²)</v>
          </cell>
          <cell r="CB7" t="str">
            <v>(degree)</v>
          </cell>
          <cell r="CC7" t="str">
            <v>(g)</v>
          </cell>
          <cell r="CD7" t="str">
            <v>(kg)</v>
          </cell>
          <cell r="CE7" t="str">
            <v>(l)</v>
          </cell>
          <cell r="CF7" t="str">
            <v>(m³)</v>
          </cell>
          <cell r="CG7" t="str">
            <v>(mm³)</v>
          </cell>
          <cell r="CH7" t="str">
            <v>(cm³)</v>
          </cell>
          <cell r="CI7" t="str">
            <v>(m³)</v>
          </cell>
          <cell r="CJ7" t="str">
            <v>(ppm)</v>
          </cell>
          <cell r="CK7" t="str">
            <v>(mPa-s)</v>
          </cell>
          <cell r="CL7" t="str">
            <v>(mm²/s)</v>
          </cell>
          <cell r="CM7" t="str">
            <v>(SSU)</v>
          </cell>
          <cell r="CN7" t="str">
            <v>(SSU @ 37.7°C)</v>
          </cell>
          <cell r="CO7" t="str">
            <v>(SSU @ 100°C)</v>
          </cell>
          <cell r="CP7" t="str">
            <v>(kg/m³)</v>
          </cell>
          <cell r="CQ7" t="str">
            <v>(m³/L)</v>
          </cell>
          <cell r="CR7" t="str">
            <v>(lb/lb mol)</v>
          </cell>
          <cell r="CS7" t="str">
            <v>(MW)</v>
          </cell>
          <cell r="CT7" t="str">
            <v>(kJ/m h °C)</v>
          </cell>
          <cell r="CU7" t="str">
            <v>(kJ/kg mol)</v>
          </cell>
          <cell r="CV7" t="str">
            <v>(kN/m³)</v>
          </cell>
          <cell r="CW7" t="str">
            <v>(kJ/kg °C)</v>
          </cell>
          <cell r="CX7" t="str">
            <v>(kJ/kg)</v>
          </cell>
          <cell r="CY7" t="str">
            <v>(kJ/Nm³)</v>
          </cell>
          <cell r="CZ7" t="str">
            <v>(hr m² °C/kJ)</v>
          </cell>
        </row>
        <row r="8">
          <cell r="B8" t="str">
            <v>Hybrid</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t="str">
            <v>(µPa)</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t="str">
            <v>S</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H8">
            <v>0</v>
          </cell>
          <cell r="CI8">
            <v>0</v>
          </cell>
          <cell r="CJ8">
            <v>0</v>
          </cell>
          <cell r="CK8">
            <v>0</v>
          </cell>
          <cell r="CL8" t="str">
            <v>SSU</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F_DOCS"/>
      <sheetName val="GEN_PERF_DATA"/>
      <sheetName val="GEN_PERF_DATA "/>
      <sheetName val="MECH_DATA"/>
      <sheetName val="PROCESS_CONN"/>
      <sheetName val="DWG_SHT1"/>
      <sheetName val="DWG_SHT2"/>
      <sheetName val="DWG_SHT3"/>
      <sheetName val="MotorDS"/>
      <sheetName val="NOISE_LIMITS"/>
      <sheetName val="REMARKS"/>
      <sheetName val="SSR_1"/>
      <sheetName val="SSR_2"/>
      <sheetName val="MAT_OF_CONSTR"/>
      <sheetName val="MOTOR_D_S"/>
      <sheetName val="FileInfo"/>
      <sheetName val="IniMacro"/>
      <sheetName val="Units"/>
      <sheetName val="GEN_PERF_DATA_"/>
      <sheetName val="Total"/>
      <sheetName val="GEN_PERF_DATA_1"/>
      <sheetName val="GEN_PERF_DATA_2"/>
      <sheetName val="DRS_Data"/>
      <sheetName val="C-3204"/>
      <sheetName val="Electrical Load List"/>
      <sheetName val="Page 1"/>
      <sheetName val="Page 2"/>
      <sheetName val="Page 3"/>
      <sheetName val="Suppl. 1"/>
      <sheetName val="Suppl. 2"/>
      <sheetName val="UOM"/>
      <sheetName val="Groupvise Report"/>
      <sheetName val="air cooler"/>
      <sheetName val="GEN_PERF_DATA_3"/>
      <sheetName val="Electrical_Load_List"/>
      <sheetName val="Page_1"/>
      <sheetName val="Page_2"/>
      <sheetName val="Page_3"/>
      <sheetName val="Suppl__1"/>
      <sheetName val="Suppl__2"/>
      <sheetName val="Groupvise_Report"/>
      <sheetName val="air_cooler"/>
      <sheetName val="GEN_PERF_DATA_4"/>
      <sheetName val="Electrical_Load_List1"/>
      <sheetName val="Page_11"/>
      <sheetName val="Page_21"/>
      <sheetName val="Page_31"/>
      <sheetName val="Suppl__11"/>
      <sheetName val="Suppl__21"/>
      <sheetName val="Groupvise_Report1"/>
      <sheetName val="air_cooler1"/>
      <sheetName val="GEN_PERF_DATA_6"/>
      <sheetName val="Electrical_Load_List3"/>
      <sheetName val="Page_13"/>
      <sheetName val="Page_23"/>
      <sheetName val="Page_33"/>
      <sheetName val="Suppl__13"/>
      <sheetName val="Suppl__23"/>
      <sheetName val="Groupvise_Report3"/>
      <sheetName val="air_cooler3"/>
      <sheetName val="GEN_PERF_DATA_5"/>
      <sheetName val="Electrical_Load_List2"/>
      <sheetName val="Page_12"/>
      <sheetName val="Page_22"/>
      <sheetName val="Page_32"/>
      <sheetName val="Suppl__12"/>
      <sheetName val="Suppl__22"/>
      <sheetName val="Groupvise_Report2"/>
      <sheetName val="air_cooler2"/>
      <sheetName val="GEN_PERF_DATA_7"/>
      <sheetName val="Electrical_Load_List4"/>
      <sheetName val="Page_14"/>
      <sheetName val="Page_24"/>
      <sheetName val="Page_34"/>
      <sheetName val="Suppl__14"/>
      <sheetName val="Suppl__24"/>
      <sheetName val="Groupvise_Report4"/>
      <sheetName val="air_cooler4"/>
      <sheetName val="GEN_PERF_DATA_8"/>
      <sheetName val="Electrical_Load_List5"/>
      <sheetName val="Page_15"/>
      <sheetName val="Page_25"/>
      <sheetName val="Page_35"/>
      <sheetName val="Suppl__15"/>
      <sheetName val="Suppl__25"/>
      <sheetName val="Groupvise_Report5"/>
      <sheetName val="air_cooler5"/>
    </sheetNames>
    <sheetDataSet>
      <sheetData sheetId="0" refreshError="1">
        <row r="20">
          <cell r="E20" t="str">
            <v>E-10432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refreshError="1"/>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Table304.1.1"/>
      <sheetName val="Table 1A"/>
      <sheetName val="TE-1"/>
      <sheetName val="Pipe"/>
    </sheetNames>
    <sheetDataSet>
      <sheetData sheetId="0"/>
      <sheetData sheetId="1"/>
      <sheetData sheetId="2"/>
      <sheetData sheetId="3"/>
      <sheetData sheetId="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1"/>
      <sheetName val="P2"/>
      <sheetName val="§1 Global Budget "/>
      <sheetName val="§2 T&amp;P"/>
      <sheetName val="§3 Rates"/>
      <sheetName val="§4 Organization"/>
      <sheetName val="§5 General"/>
      <sheetName val="§6 Procurement"/>
      <sheetName val="S-Curve Progress (2)"/>
    </sheetNames>
    <sheetDataSet>
      <sheetData sheetId="0"/>
      <sheetData sheetId="1"/>
      <sheetData sheetId="2" refreshError="1"/>
      <sheetData sheetId="3" refreshError="1"/>
      <sheetData sheetId="4"/>
      <sheetData sheetId="5"/>
      <sheetData sheetId="6" refreshError="1"/>
      <sheetData sheetId="7" refreshError="1"/>
      <sheetData sheetId="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P"/>
      <sheetName val="LP"/>
      <sheetName val="경제지표"/>
    </sheetNames>
    <sheetDataSet>
      <sheetData sheetId="0"/>
      <sheetData sheetId="1"/>
      <sheetData sheetId="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re"/>
      <sheetName val="Heures"/>
      <sheetName val="Valorisation"/>
      <sheetName val="Taux"/>
      <sheetName val="Vademecum"/>
      <sheetName val="Conseil"/>
      <sheetName val="Macro"/>
      <sheetName val="Taux Sanofi"/>
      <sheetName val="Titre:Valorisation"/>
    </sheetNames>
    <sheetDataSet>
      <sheetData sheetId="0">
        <row r="2">
          <cell r="F2" t="str">
            <v>BDG7</v>
          </cell>
        </row>
        <row r="3">
          <cell r="F3" t="str">
            <v xml:space="preserve">   K:\FICHES DE PRIX DE SERVICES\SANOFI PASTEUR V16\SANOFI PASTEUR V16 APD RÉV0.XLS</v>
          </cell>
        </row>
        <row r="8">
          <cell r="D8">
            <v>65560</v>
          </cell>
        </row>
        <row r="9">
          <cell r="D9" t="str">
            <v>TPLCI</v>
          </cell>
        </row>
        <row r="10">
          <cell r="D10" t="str">
            <v>Rev 0</v>
          </cell>
        </row>
        <row r="11">
          <cell r="D11">
            <v>38972</v>
          </cell>
          <cell r="F11" t="str">
            <v>Saisir la date sous la forme JJ/MM/AA</v>
          </cell>
        </row>
        <row r="12">
          <cell r="D12" t="str">
            <v>N. Guillaule</v>
          </cell>
        </row>
        <row r="13">
          <cell r="D13" t="str">
            <v>Phase APD</v>
          </cell>
        </row>
        <row r="14">
          <cell r="D14" t="str">
            <v>Remboursable</v>
          </cell>
        </row>
        <row r="15">
          <cell r="D15" t="str">
            <v>SANOFI PASTEUR</v>
          </cell>
        </row>
        <row r="16">
          <cell r="D16" t="str">
            <v>Marcy</v>
          </cell>
        </row>
        <row r="17">
          <cell r="F17" t="str">
            <v>Choix Etablissement TECHNIP FRANCE</v>
          </cell>
        </row>
        <row r="18">
          <cell r="F18" t="str">
            <v>Choix de la "Branch"</v>
          </cell>
        </row>
      </sheetData>
      <sheetData sheetId="1"/>
      <sheetData sheetId="2"/>
      <sheetData sheetId="3"/>
      <sheetData sheetId="4"/>
      <sheetData sheetId="5"/>
      <sheetData sheetId="6"/>
      <sheetData sheetId="7"/>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prism-ip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
  <sheetViews>
    <sheetView showGridLines="0" view="pageBreakPreview" topLeftCell="A3" zoomScale="90" zoomScaleNormal="80" zoomScaleSheetLayoutView="90" workbookViewId="0">
      <selection activeCell="N22" sqref="N22"/>
    </sheetView>
  </sheetViews>
  <sheetFormatPr defaultColWidth="8.85546875" defaultRowHeight="15" x14ac:dyDescent="0.3"/>
  <cols>
    <col min="1" max="12" width="8.85546875" style="25" customWidth="1"/>
    <col min="13" max="13" width="8.85546875" style="20" customWidth="1"/>
    <col min="14" max="16384" width="8.85546875" style="20"/>
  </cols>
  <sheetData>
    <row r="1" spans="1:12" ht="21.75" customHeight="1" x14ac:dyDescent="0.4">
      <c r="A1" s="36" t="e">
        <v>#VALUE!</v>
      </c>
      <c r="B1" s="28"/>
      <c r="C1" s="28"/>
      <c r="D1" s="42" t="s">
        <v>0</v>
      </c>
      <c r="E1" s="28"/>
      <c r="F1" s="28"/>
      <c r="G1" s="28"/>
      <c r="H1" s="28"/>
      <c r="I1" s="28"/>
      <c r="J1" s="35"/>
      <c r="K1" s="28"/>
      <c r="L1" s="28"/>
    </row>
    <row r="2" spans="1:12" ht="13.15" customHeight="1" x14ac:dyDescent="0.3">
      <c r="A2" s="28"/>
      <c r="B2" s="28"/>
      <c r="C2" s="28"/>
      <c r="D2" s="29" t="s">
        <v>1</v>
      </c>
      <c r="E2" s="28"/>
      <c r="F2" s="28"/>
      <c r="G2" s="28"/>
      <c r="H2" s="28"/>
      <c r="I2" s="28"/>
      <c r="J2" s="28"/>
      <c r="K2" s="28"/>
      <c r="L2" s="28"/>
    </row>
    <row r="3" spans="1:12" ht="31.9" customHeight="1" x14ac:dyDescent="0.3">
      <c r="A3" s="18"/>
      <c r="B3" s="18"/>
      <c r="C3" s="18"/>
      <c r="D3" s="21"/>
      <c r="E3" s="21"/>
      <c r="F3" s="21"/>
      <c r="G3" s="21"/>
      <c r="H3" s="21"/>
      <c r="I3" s="21"/>
      <c r="J3" s="19"/>
      <c r="K3" s="19"/>
      <c r="L3" s="19"/>
    </row>
    <row r="4" spans="1:12" ht="27" customHeight="1" x14ac:dyDescent="0.3">
      <c r="A4" s="39"/>
      <c r="B4" s="28"/>
      <c r="C4" s="28"/>
      <c r="D4" s="28"/>
      <c r="E4" s="28"/>
      <c r="F4" s="28"/>
      <c r="G4" s="28"/>
      <c r="H4" s="28"/>
      <c r="I4" s="28"/>
      <c r="J4" s="28"/>
      <c r="K4" s="28"/>
      <c r="L4" s="28"/>
    </row>
    <row r="5" spans="1:12" ht="249.6" customHeight="1" x14ac:dyDescent="0.3">
      <c r="A5" s="37" t="s">
        <v>2</v>
      </c>
      <c r="B5" s="28"/>
      <c r="C5" s="28"/>
      <c r="D5" s="28"/>
      <c r="E5" s="28"/>
      <c r="F5" s="28"/>
      <c r="G5" s="28"/>
      <c r="H5" s="28"/>
      <c r="I5" s="28"/>
      <c r="J5" s="28"/>
      <c r="K5" s="28"/>
      <c r="L5" s="28"/>
    </row>
    <row r="6" spans="1:12" x14ac:dyDescent="0.3">
      <c r="A6" s="41" t="str">
        <f ca="1">REPLACE(LEFT(CELL("filename",A1),FIND("]",CELL("filename",A1))-1),1,FIND("[",CELL("filename",A1)),"")</f>
        <v>PRISM_Brain_Process_Criticality_Questionnaire_v2.xlsx</v>
      </c>
      <c r="B6" s="28"/>
      <c r="C6" s="28"/>
      <c r="D6" s="28"/>
      <c r="E6" s="28"/>
      <c r="F6" s="28"/>
      <c r="G6" s="28"/>
      <c r="H6" s="28"/>
      <c r="I6" s="28"/>
      <c r="J6" s="28"/>
      <c r="K6" s="28"/>
      <c r="L6" s="28"/>
    </row>
    <row r="7" spans="1:12" x14ac:dyDescent="0.3">
      <c r="A7" s="30" t="s">
        <v>3</v>
      </c>
      <c r="B7" s="28"/>
      <c r="C7" s="28"/>
      <c r="D7" s="28"/>
      <c r="E7" s="28"/>
      <c r="F7" s="28"/>
      <c r="G7" s="28"/>
      <c r="H7" s="28"/>
      <c r="I7" s="28"/>
      <c r="J7" s="28"/>
      <c r="K7" s="28"/>
      <c r="L7" s="28"/>
    </row>
    <row r="8" spans="1:12" x14ac:dyDescent="0.3">
      <c r="A8" s="38" t="s">
        <v>2</v>
      </c>
      <c r="B8" s="28"/>
      <c r="C8" s="28"/>
      <c r="D8" s="28"/>
      <c r="E8" s="28"/>
      <c r="F8" s="28"/>
      <c r="G8" s="28"/>
      <c r="H8" s="28"/>
      <c r="I8" s="28"/>
      <c r="J8" s="28"/>
      <c r="K8" s="28"/>
      <c r="L8" s="28"/>
    </row>
    <row r="9" spans="1:12" x14ac:dyDescent="0.3">
      <c r="A9" s="30" t="s">
        <v>4</v>
      </c>
      <c r="B9" s="28"/>
      <c r="C9" s="28"/>
      <c r="D9" s="28"/>
      <c r="E9" s="28"/>
      <c r="F9" s="28"/>
      <c r="G9" s="28"/>
      <c r="H9" s="28"/>
      <c r="I9" s="28"/>
      <c r="J9" s="28"/>
      <c r="K9" s="28"/>
      <c r="L9" s="28"/>
    </row>
    <row r="10" spans="1:12" x14ac:dyDescent="0.3">
      <c r="A10" s="41"/>
      <c r="B10" s="28"/>
      <c r="C10" s="28"/>
      <c r="D10" s="28"/>
      <c r="E10" s="28"/>
      <c r="F10" s="28"/>
      <c r="G10" s="28"/>
      <c r="H10" s="28"/>
      <c r="I10" s="28"/>
      <c r="J10" s="28"/>
      <c r="K10" s="28"/>
      <c r="L10" s="28"/>
    </row>
    <row r="11" spans="1:12" x14ac:dyDescent="0.3">
      <c r="A11" s="27"/>
      <c r="B11" s="28"/>
      <c r="C11" s="28"/>
      <c r="D11" s="28"/>
      <c r="E11" s="28"/>
      <c r="F11" s="28"/>
      <c r="G11" s="28"/>
      <c r="H11" s="28"/>
      <c r="I11" s="28"/>
      <c r="J11" s="28"/>
      <c r="K11" s="28"/>
      <c r="L11" s="28"/>
    </row>
    <row r="12" spans="1:12" x14ac:dyDescent="0.3">
      <c r="A12" s="30" t="s">
        <v>5</v>
      </c>
      <c r="B12" s="28"/>
      <c r="C12" s="28"/>
      <c r="D12" s="28"/>
      <c r="E12" s="30" t="s">
        <v>6</v>
      </c>
      <c r="F12" s="28"/>
      <c r="G12" s="28"/>
      <c r="H12" s="28"/>
      <c r="I12" s="30" t="s">
        <v>7</v>
      </c>
      <c r="J12" s="28"/>
      <c r="K12" s="28"/>
      <c r="L12" s="28"/>
    </row>
    <row r="13" spans="1:12" x14ac:dyDescent="0.3">
      <c r="A13" s="34" t="s">
        <v>8</v>
      </c>
      <c r="B13" s="28"/>
      <c r="C13" s="28"/>
      <c r="D13" s="28"/>
      <c r="E13" s="34" t="s">
        <v>9</v>
      </c>
      <c r="F13" s="28"/>
      <c r="G13" s="28"/>
      <c r="H13" s="28"/>
      <c r="I13" s="34" t="s">
        <v>10</v>
      </c>
      <c r="J13" s="28"/>
      <c r="K13" s="28"/>
      <c r="L13" s="28"/>
    </row>
    <row r="14" spans="1:12" x14ac:dyDescent="0.3">
      <c r="A14" s="30" t="s">
        <v>11</v>
      </c>
      <c r="B14" s="28"/>
      <c r="C14" s="28"/>
      <c r="D14" s="28"/>
      <c r="E14" s="30" t="s">
        <v>12</v>
      </c>
      <c r="F14" s="28"/>
      <c r="G14" s="28"/>
      <c r="H14" s="28"/>
      <c r="I14" s="30" t="s">
        <v>13</v>
      </c>
      <c r="J14" s="28"/>
      <c r="K14" s="30" t="s">
        <v>14</v>
      </c>
      <c r="L14" s="28"/>
    </row>
    <row r="15" spans="1:12" x14ac:dyDescent="0.3">
      <c r="A15" s="34" t="s">
        <v>15</v>
      </c>
      <c r="B15" s="28"/>
      <c r="C15" s="28"/>
      <c r="D15" s="28"/>
      <c r="E15" s="34" t="s">
        <v>16</v>
      </c>
      <c r="F15" s="28"/>
      <c r="G15" s="28"/>
      <c r="H15" s="28"/>
      <c r="I15" s="31" t="s">
        <v>17</v>
      </c>
      <c r="J15" s="28"/>
      <c r="K15" s="32">
        <v>46070</v>
      </c>
      <c r="L15" s="28"/>
    </row>
    <row r="16" spans="1:12" x14ac:dyDescent="0.3">
      <c r="A16" s="27"/>
      <c r="B16" s="28"/>
      <c r="C16" s="28"/>
      <c r="D16" s="28"/>
      <c r="E16" s="28"/>
      <c r="F16" s="28"/>
      <c r="G16" s="28"/>
      <c r="H16" s="28"/>
      <c r="I16" s="28"/>
      <c r="J16" s="28"/>
      <c r="K16" s="28"/>
      <c r="L16" s="28"/>
    </row>
    <row r="17" spans="1:12" x14ac:dyDescent="0.3">
      <c r="A17" s="30" t="s">
        <v>18</v>
      </c>
      <c r="B17" s="28"/>
      <c r="C17" s="28"/>
      <c r="D17" s="30" t="s">
        <v>19</v>
      </c>
      <c r="E17" s="28"/>
      <c r="F17" s="28"/>
      <c r="G17" s="30" t="s">
        <v>20</v>
      </c>
      <c r="H17" s="28"/>
      <c r="I17" s="28"/>
      <c r="J17" s="30" t="s">
        <v>21</v>
      </c>
      <c r="K17" s="28"/>
      <c r="L17" s="28"/>
    </row>
    <row r="18" spans="1:12" ht="18" customHeight="1" x14ac:dyDescent="0.3">
      <c r="A18" s="33" t="s">
        <v>22</v>
      </c>
      <c r="B18" s="28"/>
      <c r="C18" s="28"/>
      <c r="D18" s="33" t="s">
        <v>15</v>
      </c>
      <c r="E18" s="28"/>
      <c r="F18" s="28"/>
      <c r="G18" s="33"/>
      <c r="H18" s="28"/>
      <c r="I18" s="28"/>
      <c r="J18" s="33"/>
      <c r="K18" s="28"/>
      <c r="L18" s="28"/>
    </row>
    <row r="19" spans="1:12" x14ac:dyDescent="0.3">
      <c r="A19" s="35"/>
      <c r="B19" s="28"/>
      <c r="C19" s="28"/>
      <c r="D19" s="28"/>
      <c r="E19" s="28"/>
      <c r="F19" s="28"/>
      <c r="G19" s="28"/>
      <c r="H19" s="28"/>
      <c r="I19" s="28"/>
      <c r="J19" s="28"/>
      <c r="K19" s="28"/>
      <c r="L19" s="28"/>
    </row>
    <row r="20" spans="1:12" x14ac:dyDescent="0.3">
      <c r="A20" s="40" t="s">
        <v>23</v>
      </c>
      <c r="B20" s="28"/>
      <c r="C20" s="28"/>
      <c r="D20" s="28"/>
      <c r="E20" s="28"/>
      <c r="F20" s="28"/>
      <c r="G20" s="28"/>
      <c r="H20" s="28"/>
      <c r="I20" s="28"/>
      <c r="J20" s="28"/>
      <c r="K20" s="28"/>
      <c r="L20" s="28"/>
    </row>
    <row r="21" spans="1:12" x14ac:dyDescent="0.3">
      <c r="A21" s="22"/>
      <c r="B21" s="22"/>
      <c r="C21" s="22"/>
      <c r="D21" s="22"/>
      <c r="E21" s="22"/>
      <c r="F21" s="22"/>
      <c r="G21" s="22"/>
      <c r="H21" s="22"/>
      <c r="I21" s="22"/>
      <c r="J21" s="22"/>
      <c r="K21" s="22"/>
      <c r="L21" s="22"/>
    </row>
    <row r="22" spans="1:12" x14ac:dyDescent="0.3">
      <c r="A22" s="23"/>
      <c r="B22" s="23"/>
      <c r="C22" s="23"/>
      <c r="D22" s="23"/>
      <c r="E22" s="23"/>
      <c r="F22" s="23"/>
      <c r="G22" s="23"/>
      <c r="H22" s="23"/>
      <c r="I22" s="23"/>
      <c r="J22" s="23"/>
      <c r="K22" s="23"/>
      <c r="L22" s="23"/>
    </row>
    <row r="23" spans="1:12" ht="18" customHeight="1" x14ac:dyDescent="0.35">
      <c r="A23" s="24" t="s">
        <v>9</v>
      </c>
      <c r="B23" s="23"/>
      <c r="C23" s="23"/>
      <c r="D23" s="23"/>
      <c r="E23" s="23"/>
      <c r="F23" s="23"/>
      <c r="G23" s="23"/>
      <c r="H23" s="23"/>
      <c r="I23" s="23"/>
      <c r="J23" s="23"/>
      <c r="L23" s="26" t="s">
        <v>24</v>
      </c>
    </row>
    <row r="24" spans="1:12" x14ac:dyDescent="0.3">
      <c r="A24" s="23"/>
      <c r="B24" s="23"/>
      <c r="C24" s="23"/>
      <c r="D24" s="23"/>
      <c r="E24" s="23"/>
      <c r="F24" s="23"/>
      <c r="G24" s="23"/>
      <c r="H24" s="23"/>
      <c r="I24" s="23"/>
      <c r="J24" s="23"/>
      <c r="K24" s="23"/>
      <c r="L24" s="23"/>
    </row>
  </sheetData>
  <mergeCells count="37">
    <mergeCell ref="A20:L20"/>
    <mergeCell ref="E14:H14"/>
    <mergeCell ref="A10:L10"/>
    <mergeCell ref="A19:L19"/>
    <mergeCell ref="J18:L18"/>
    <mergeCell ref="I14:J14"/>
    <mergeCell ref="J17:L17"/>
    <mergeCell ref="K14:L14"/>
    <mergeCell ref="E13:H13"/>
    <mergeCell ref="A12:D12"/>
    <mergeCell ref="A11:L11"/>
    <mergeCell ref="I12:L12"/>
    <mergeCell ref="E15:H15"/>
    <mergeCell ref="G17:I17"/>
    <mergeCell ref="A14:D14"/>
    <mergeCell ref="A18:C18"/>
    <mergeCell ref="G18:I18"/>
    <mergeCell ref="D17:F17"/>
    <mergeCell ref="A13:D13"/>
    <mergeCell ref="I13:L13"/>
    <mergeCell ref="A17:C17"/>
    <mergeCell ref="D18:F18"/>
    <mergeCell ref="A15:D15"/>
    <mergeCell ref="A16:L16"/>
    <mergeCell ref="D2:I2"/>
    <mergeCell ref="A7:L7"/>
    <mergeCell ref="I15:J15"/>
    <mergeCell ref="K15:L15"/>
    <mergeCell ref="J1:L2"/>
    <mergeCell ref="A1:C2"/>
    <mergeCell ref="E12:H12"/>
    <mergeCell ref="A5:L5"/>
    <mergeCell ref="A8:L8"/>
    <mergeCell ref="A4:L4"/>
    <mergeCell ref="A9:L9"/>
    <mergeCell ref="D1:I1"/>
    <mergeCell ref="A6:L6"/>
  </mergeCells>
  <hyperlinks>
    <hyperlink ref="L23" r:id="rId1" xr:uid="{00000000-0004-0000-0000-000000000000}"/>
  </hyperlinks>
  <pageMargins left="0.7" right="0.7" top="0.75" bottom="0.75" header="0.3" footer="0.3"/>
  <pageSetup scale="8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7"/>
  <sheetViews>
    <sheetView workbookViewId="0">
      <selection activeCell="D19" sqref="D19"/>
    </sheetView>
  </sheetViews>
  <sheetFormatPr defaultRowHeight="15" x14ac:dyDescent="0.25"/>
  <cols>
    <col min="1" max="1" width="83.5703125" customWidth="1"/>
    <col min="2" max="2" width="10.85546875" customWidth="1"/>
  </cols>
  <sheetData>
    <row r="1" spans="1:2" ht="21" customHeight="1" x14ac:dyDescent="0.3">
      <c r="A1" s="17" t="s">
        <v>25</v>
      </c>
      <c r="B1" s="13"/>
    </row>
    <row r="3" spans="1:2" ht="15.75" customHeight="1" x14ac:dyDescent="0.25">
      <c r="A3" s="2" t="s">
        <v>26</v>
      </c>
    </row>
    <row r="4" spans="1:2" x14ac:dyDescent="0.25">
      <c r="A4" s="14" t="s">
        <v>27</v>
      </c>
    </row>
    <row r="5" spans="1:2" x14ac:dyDescent="0.25">
      <c r="A5" s="14" t="s">
        <v>28</v>
      </c>
    </row>
    <row r="7" spans="1:2" x14ac:dyDescent="0.25">
      <c r="A7" s="14" t="s">
        <v>29</v>
      </c>
    </row>
    <row r="9" spans="1:2" ht="15.75" customHeight="1" x14ac:dyDescent="0.25">
      <c r="A9" s="2" t="s">
        <v>30</v>
      </c>
    </row>
    <row r="10" spans="1:2" x14ac:dyDescent="0.25">
      <c r="A10" s="14" t="s">
        <v>31</v>
      </c>
    </row>
    <row r="11" spans="1:2" x14ac:dyDescent="0.25">
      <c r="A11" s="14" t="s">
        <v>32</v>
      </c>
    </row>
    <row r="12" spans="1:2" x14ac:dyDescent="0.25">
      <c r="A12" s="14" t="s">
        <v>33</v>
      </c>
    </row>
    <row r="13" spans="1:2" x14ac:dyDescent="0.25">
      <c r="A13" s="14" t="s">
        <v>34</v>
      </c>
    </row>
    <row r="14" spans="1:2" x14ac:dyDescent="0.25">
      <c r="A14" s="14" t="s">
        <v>35</v>
      </c>
    </row>
    <row r="15" spans="1:2" x14ac:dyDescent="0.25">
      <c r="A15" s="14" t="s">
        <v>36</v>
      </c>
    </row>
    <row r="16" spans="1:2" x14ac:dyDescent="0.25">
      <c r="A16" s="14" t="s">
        <v>37</v>
      </c>
    </row>
    <row r="18" spans="1:1" ht="15.75" customHeight="1" x14ac:dyDescent="0.25">
      <c r="A18" s="2" t="s">
        <v>38</v>
      </c>
    </row>
    <row r="20" spans="1:1" x14ac:dyDescent="0.25">
      <c r="A20" s="14" t="s">
        <v>39</v>
      </c>
    </row>
    <row r="21" spans="1:1" x14ac:dyDescent="0.25">
      <c r="A21" s="14" t="s">
        <v>40</v>
      </c>
    </row>
    <row r="23" spans="1:1" x14ac:dyDescent="0.25">
      <c r="A23" s="14" t="s">
        <v>41</v>
      </c>
    </row>
    <row r="24" spans="1:1" x14ac:dyDescent="0.25">
      <c r="A24" s="14" t="s">
        <v>42</v>
      </c>
    </row>
    <row r="26" spans="1:1" x14ac:dyDescent="0.25">
      <c r="A26" s="14" t="s">
        <v>43</v>
      </c>
    </row>
    <row r="27" spans="1:1" x14ac:dyDescent="0.25">
      <c r="A27" s="14" t="s">
        <v>44</v>
      </c>
    </row>
    <row r="29" spans="1:1" x14ac:dyDescent="0.25">
      <c r="A29" s="14" t="s">
        <v>45</v>
      </c>
    </row>
    <row r="30" spans="1:1" x14ac:dyDescent="0.25">
      <c r="A30" s="14" t="s">
        <v>46</v>
      </c>
    </row>
    <row r="32" spans="1:1" x14ac:dyDescent="0.25">
      <c r="A32" s="14" t="s">
        <v>47</v>
      </c>
    </row>
    <row r="35" spans="1:1" ht="15.75" customHeight="1" x14ac:dyDescent="0.25">
      <c r="A35" s="2" t="s">
        <v>48</v>
      </c>
    </row>
    <row r="36" spans="1:1" x14ac:dyDescent="0.25">
      <c r="A36" s="14" t="s">
        <v>49</v>
      </c>
    </row>
    <row r="37" spans="1:1" x14ac:dyDescent="0.25">
      <c r="A37" s="14" t="s">
        <v>50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9"/>
  <sheetViews>
    <sheetView workbookViewId="0">
      <selection sqref="A1:C30"/>
    </sheetView>
  </sheetViews>
  <sheetFormatPr defaultRowHeight="15" x14ac:dyDescent="0.25"/>
  <cols>
    <col min="1" max="1" width="34.140625" bestFit="1" customWidth="1"/>
    <col min="2" max="2" width="40" customWidth="1"/>
    <col min="3" max="3" width="30" customWidth="1"/>
  </cols>
  <sheetData>
    <row r="1" spans="1:3" ht="18.75" customHeight="1" x14ac:dyDescent="0.3">
      <c r="A1" s="43" t="s">
        <v>51</v>
      </c>
      <c r="B1" s="44"/>
      <c r="C1" s="44"/>
    </row>
    <row r="2" spans="1:3" x14ac:dyDescent="0.25">
      <c r="A2" s="14"/>
      <c r="B2" s="14"/>
      <c r="C2" s="14"/>
    </row>
    <row r="3" spans="1:3" x14ac:dyDescent="0.25">
      <c r="A3" s="15" t="s">
        <v>52</v>
      </c>
      <c r="B3" s="14" t="s">
        <v>53</v>
      </c>
      <c r="C3" s="14"/>
    </row>
    <row r="4" spans="1:3" x14ac:dyDescent="0.25">
      <c r="A4" s="15" t="s">
        <v>54</v>
      </c>
      <c r="B4" s="16" t="s">
        <v>55</v>
      </c>
      <c r="C4" s="14"/>
    </row>
    <row r="5" spans="1:3" x14ac:dyDescent="0.25">
      <c r="A5" s="15" t="s">
        <v>56</v>
      </c>
      <c r="B5" s="14">
        <v>11.6</v>
      </c>
      <c r="C5" s="14"/>
    </row>
    <row r="6" spans="1:3" x14ac:dyDescent="0.25">
      <c r="A6" s="15" t="s">
        <v>57</v>
      </c>
      <c r="B6" s="14">
        <v>40</v>
      </c>
      <c r="C6" s="14"/>
    </row>
    <row r="7" spans="1:3" x14ac:dyDescent="0.25">
      <c r="A7" s="15" t="s">
        <v>58</v>
      </c>
      <c r="B7" s="14">
        <v>10</v>
      </c>
      <c r="C7" s="14"/>
    </row>
    <row r="8" spans="1:3" x14ac:dyDescent="0.25">
      <c r="A8" s="15" t="s">
        <v>59</v>
      </c>
      <c r="B8" s="14">
        <v>1</v>
      </c>
      <c r="C8" s="14"/>
    </row>
    <row r="9" spans="1:3" x14ac:dyDescent="0.25">
      <c r="A9" s="14"/>
      <c r="B9" s="14"/>
      <c r="C9" s="14"/>
    </row>
    <row r="10" spans="1:3" x14ac:dyDescent="0.25">
      <c r="A10" s="15" t="s">
        <v>60</v>
      </c>
      <c r="B10" s="14"/>
      <c r="C10" s="14"/>
    </row>
    <row r="11" spans="1:3" x14ac:dyDescent="0.25">
      <c r="A11" s="15" t="s">
        <v>61</v>
      </c>
      <c r="B11" s="14" t="s">
        <v>62</v>
      </c>
      <c r="C11" s="14"/>
    </row>
    <row r="12" spans="1:3" x14ac:dyDescent="0.25">
      <c r="A12" s="15" t="s">
        <v>63</v>
      </c>
      <c r="B12" s="14" t="s">
        <v>64</v>
      </c>
      <c r="C12" s="14"/>
    </row>
    <row r="13" spans="1:3" x14ac:dyDescent="0.25">
      <c r="A13" s="15" t="s">
        <v>65</v>
      </c>
      <c r="B13" s="14" t="s">
        <v>64</v>
      </c>
      <c r="C13" s="14"/>
    </row>
    <row r="14" spans="1:3" x14ac:dyDescent="0.25">
      <c r="A14" s="15" t="s">
        <v>66</v>
      </c>
      <c r="B14" s="14" t="s">
        <v>64</v>
      </c>
      <c r="C14" s="14"/>
    </row>
    <row r="15" spans="1:3" x14ac:dyDescent="0.25">
      <c r="A15" s="15" t="s">
        <v>67</v>
      </c>
      <c r="B15" s="14" t="s">
        <v>64</v>
      </c>
      <c r="C15" s="14"/>
    </row>
    <row r="16" spans="1:3" x14ac:dyDescent="0.25">
      <c r="A16" s="14"/>
      <c r="B16" s="14"/>
      <c r="C16" s="14"/>
    </row>
    <row r="17" spans="1:3" x14ac:dyDescent="0.25">
      <c r="A17" s="1" t="s">
        <v>68</v>
      </c>
      <c r="B17" s="14"/>
      <c r="C17" s="14"/>
    </row>
    <row r="18" spans="1:3" x14ac:dyDescent="0.25">
      <c r="A18" s="14"/>
      <c r="B18" s="14"/>
      <c r="C18" s="14"/>
    </row>
    <row r="19" spans="1:3" x14ac:dyDescent="0.25">
      <c r="A19" s="15" t="s">
        <v>69</v>
      </c>
      <c r="B19" s="14" t="s">
        <v>70</v>
      </c>
      <c r="C19" s="14"/>
    </row>
    <row r="20" spans="1:3" x14ac:dyDescent="0.25">
      <c r="A20" s="15" t="s">
        <v>71</v>
      </c>
      <c r="B20" s="14">
        <v>7500</v>
      </c>
      <c r="C20" s="14"/>
    </row>
    <row r="21" spans="1:3" x14ac:dyDescent="0.25">
      <c r="A21" s="15" t="s">
        <v>72</v>
      </c>
      <c r="B21" s="14">
        <v>10</v>
      </c>
      <c r="C21" s="14"/>
    </row>
    <row r="22" spans="1:3" x14ac:dyDescent="0.25">
      <c r="A22" s="15" t="s">
        <v>73</v>
      </c>
      <c r="B22" s="14" t="s">
        <v>62</v>
      </c>
      <c r="C22" s="14"/>
    </row>
    <row r="23" spans="1:3" x14ac:dyDescent="0.25">
      <c r="A23" s="14"/>
      <c r="B23" s="14"/>
      <c r="C23" s="14"/>
    </row>
    <row r="24" spans="1:3" x14ac:dyDescent="0.25">
      <c r="A24" s="14"/>
      <c r="B24" s="14"/>
      <c r="C24" s="14"/>
    </row>
    <row r="25" spans="1:3" x14ac:dyDescent="0.25">
      <c r="A25" s="1" t="s">
        <v>74</v>
      </c>
      <c r="B25" s="14"/>
      <c r="C25" s="14"/>
    </row>
    <row r="26" spans="1:3" x14ac:dyDescent="0.25">
      <c r="A26" s="15" t="s">
        <v>75</v>
      </c>
      <c r="B26" s="14"/>
      <c r="C26" s="14"/>
    </row>
    <row r="27" spans="1:3" x14ac:dyDescent="0.25">
      <c r="A27" s="15" t="s">
        <v>76</v>
      </c>
      <c r="B27" s="14"/>
      <c r="C27" s="14"/>
    </row>
    <row r="28" spans="1:3" x14ac:dyDescent="0.25">
      <c r="A28" s="15" t="s">
        <v>77</v>
      </c>
      <c r="B28" s="14"/>
      <c r="C28" s="14"/>
    </row>
    <row r="29" spans="1:3" x14ac:dyDescent="0.25">
      <c r="A29" s="15" t="s">
        <v>78</v>
      </c>
      <c r="B29" s="14"/>
      <c r="C29" s="14"/>
    </row>
  </sheetData>
  <mergeCells count="1">
    <mergeCell ref="A1:C1"/>
  </mergeCells>
  <dataValidations count="2">
    <dataValidation type="list" sqref="B4" xr:uid="{00000000-0002-0000-0200-000000000000}">
      <formula1>"Automotive,Aerospace,Chemicals,Food &amp; Beverage,Pharmaceuticals,Electronics,Energy &amp; Utilities,Construction,Logistics,Retail,Financial Services,Healthcare,Technology,Manufacturing,Other"</formula1>
    </dataValidation>
    <dataValidation type="list" showDropDown="1" showErrorMessage="1" errorTitle="Invalid Industry" error="Please select an industry from the dropdown list" promptTitle="Industry Selection" prompt="Select your industry from the list" sqref="B4" xr:uid="{00000000-0002-0000-0200-000001000000}">
      <formula1>"Automotive,Aerospace,Chemicals,Food &amp; Beverage,Pharmaceuticals,Electronics,Energy &amp; Utilities,Construction,Logistics,Retail,Financial Services,Healthcare,Technology,Manufacturing,Other"</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2"/>
  <sheetViews>
    <sheetView workbookViewId="0">
      <pane ySplit="2" topLeftCell="A10" activePane="bottomLeft" state="frozen"/>
      <selection pane="bottomLeft" activeCell="F3" sqref="C3:F42"/>
    </sheetView>
  </sheetViews>
  <sheetFormatPr defaultRowHeight="15" x14ac:dyDescent="0.25"/>
  <cols>
    <col min="1" max="1" width="12" customWidth="1"/>
    <col min="2" max="2" width="99.85546875" bestFit="1" customWidth="1"/>
    <col min="3" max="3" width="15" customWidth="1"/>
    <col min="4" max="4" width="18" customWidth="1"/>
    <col min="5" max="5" width="18.42578125" customWidth="1"/>
    <col min="6" max="6" width="72.5703125" bestFit="1" customWidth="1"/>
  </cols>
  <sheetData>
    <row r="1" spans="1:6" ht="24.95" customHeight="1" x14ac:dyDescent="0.25">
      <c r="A1" s="46" t="s">
        <v>79</v>
      </c>
      <c r="B1" s="46"/>
      <c r="C1" s="46"/>
      <c r="D1" s="46"/>
      <c r="E1" s="46"/>
      <c r="F1" s="46"/>
    </row>
    <row r="2" spans="1:6" ht="30" customHeight="1" x14ac:dyDescent="0.25">
      <c r="A2" s="3" t="s">
        <v>80</v>
      </c>
      <c r="B2" s="3" t="s">
        <v>81</v>
      </c>
      <c r="C2" s="3" t="s">
        <v>82</v>
      </c>
      <c r="D2" s="3" t="s">
        <v>83</v>
      </c>
      <c r="E2" s="3" t="s">
        <v>85</v>
      </c>
      <c r="F2" s="3" t="s">
        <v>84</v>
      </c>
    </row>
    <row r="3" spans="1:6" x14ac:dyDescent="0.25">
      <c r="A3" s="4" t="s">
        <v>86</v>
      </c>
      <c r="B3" s="5" t="s">
        <v>87</v>
      </c>
      <c r="C3" s="4"/>
      <c r="D3" s="4"/>
      <c r="E3" s="4"/>
      <c r="F3" s="5"/>
    </row>
    <row r="4" spans="1:6" x14ac:dyDescent="0.25">
      <c r="A4" s="6" t="s">
        <v>88</v>
      </c>
      <c r="B4" s="7" t="s">
        <v>89</v>
      </c>
      <c r="C4" s="6"/>
      <c r="D4" s="6"/>
      <c r="E4" s="6"/>
      <c r="F4" s="7"/>
    </row>
    <row r="5" spans="1:6" x14ac:dyDescent="0.25">
      <c r="A5" s="6" t="s">
        <v>90</v>
      </c>
      <c r="B5" s="7" t="s">
        <v>91</v>
      </c>
      <c r="C5" s="6"/>
      <c r="D5" s="6"/>
      <c r="E5" s="6"/>
      <c r="F5" s="7"/>
    </row>
    <row r="6" spans="1:6" x14ac:dyDescent="0.25">
      <c r="A6" s="6" t="s">
        <v>92</v>
      </c>
      <c r="B6" s="7" t="s">
        <v>93</v>
      </c>
      <c r="C6" s="6"/>
      <c r="D6" s="6"/>
      <c r="E6" s="6"/>
      <c r="F6" s="7"/>
    </row>
    <row r="7" spans="1:6" x14ac:dyDescent="0.25">
      <c r="A7" s="6" t="s">
        <v>94</v>
      </c>
      <c r="B7" s="7" t="s">
        <v>95</v>
      </c>
      <c r="C7" s="6"/>
      <c r="D7" s="6"/>
      <c r="E7" s="6"/>
      <c r="F7" s="7"/>
    </row>
    <row r="8" spans="1:6" x14ac:dyDescent="0.25">
      <c r="A8" s="6" t="s">
        <v>96</v>
      </c>
      <c r="B8" s="7" t="s">
        <v>97</v>
      </c>
      <c r="C8" s="6"/>
      <c r="D8" s="6"/>
      <c r="E8" s="6"/>
      <c r="F8" s="7"/>
    </row>
    <row r="9" spans="1:6" x14ac:dyDescent="0.25">
      <c r="A9" s="6" t="s">
        <v>98</v>
      </c>
      <c r="B9" s="7" t="s">
        <v>99</v>
      </c>
      <c r="C9" s="6"/>
      <c r="D9" s="6"/>
      <c r="E9" s="6"/>
      <c r="F9" s="7"/>
    </row>
    <row r="10" spans="1:6" x14ac:dyDescent="0.25">
      <c r="A10" s="4" t="s">
        <v>100</v>
      </c>
      <c r="B10" s="5" t="s">
        <v>101</v>
      </c>
      <c r="C10" s="4"/>
      <c r="D10" s="4"/>
      <c r="E10" s="4"/>
      <c r="F10" s="5"/>
    </row>
    <row r="11" spans="1:6" x14ac:dyDescent="0.25">
      <c r="A11" s="6" t="s">
        <v>102</v>
      </c>
      <c r="B11" s="7" t="s">
        <v>103</v>
      </c>
      <c r="C11" s="6"/>
      <c r="D11" s="6"/>
      <c r="E11" s="6"/>
      <c r="F11" s="7"/>
    </row>
    <row r="12" spans="1:6" x14ac:dyDescent="0.25">
      <c r="A12" s="6" t="s">
        <v>104</v>
      </c>
      <c r="B12" s="7" t="s">
        <v>105</v>
      </c>
      <c r="C12" s="6"/>
      <c r="D12" s="6"/>
      <c r="E12" s="6"/>
      <c r="F12" s="7"/>
    </row>
    <row r="13" spans="1:6" x14ac:dyDescent="0.25">
      <c r="A13" s="6" t="s">
        <v>106</v>
      </c>
      <c r="B13" s="7" t="s">
        <v>107</v>
      </c>
      <c r="C13" s="6"/>
      <c r="D13" s="6"/>
      <c r="E13" s="6"/>
      <c r="F13" s="7"/>
    </row>
    <row r="14" spans="1:6" x14ac:dyDescent="0.25">
      <c r="A14" s="6" t="s">
        <v>108</v>
      </c>
      <c r="B14" s="7" t="s">
        <v>109</v>
      </c>
      <c r="C14" s="6"/>
      <c r="D14" s="6"/>
      <c r="E14" s="6"/>
      <c r="F14" s="7"/>
    </row>
    <row r="15" spans="1:6" x14ac:dyDescent="0.25">
      <c r="A15" s="6" t="s">
        <v>110</v>
      </c>
      <c r="B15" s="7" t="s">
        <v>111</v>
      </c>
      <c r="C15" s="6"/>
      <c r="D15" s="6"/>
      <c r="E15" s="6"/>
      <c r="F15" s="7"/>
    </row>
    <row r="16" spans="1:6" x14ac:dyDescent="0.25">
      <c r="A16" s="6" t="s">
        <v>112</v>
      </c>
      <c r="B16" s="7" t="s">
        <v>113</v>
      </c>
      <c r="C16" s="6"/>
      <c r="D16" s="6"/>
      <c r="E16" s="6"/>
      <c r="F16" s="7"/>
    </row>
    <row r="17" spans="1:6" x14ac:dyDescent="0.25">
      <c r="A17" s="6" t="s">
        <v>114</v>
      </c>
      <c r="B17" s="7" t="s">
        <v>115</v>
      </c>
      <c r="C17" s="6"/>
      <c r="D17" s="6"/>
      <c r="E17" s="6"/>
      <c r="F17" s="7"/>
    </row>
    <row r="18" spans="1:6" x14ac:dyDescent="0.25">
      <c r="A18" s="4" t="s">
        <v>116</v>
      </c>
      <c r="B18" s="5" t="s">
        <v>117</v>
      </c>
      <c r="C18" s="4"/>
      <c r="D18" s="4"/>
      <c r="E18" s="4"/>
      <c r="F18" s="5"/>
    </row>
    <row r="19" spans="1:6" x14ac:dyDescent="0.25">
      <c r="A19" s="6" t="s">
        <v>118</v>
      </c>
      <c r="B19" s="7" t="s">
        <v>119</v>
      </c>
      <c r="C19" s="6"/>
      <c r="D19" s="6"/>
      <c r="E19" s="6"/>
      <c r="F19" s="7"/>
    </row>
    <row r="20" spans="1:6" x14ac:dyDescent="0.25">
      <c r="A20" s="6" t="s">
        <v>120</v>
      </c>
      <c r="B20" s="7" t="s">
        <v>121</v>
      </c>
      <c r="C20" s="6"/>
      <c r="D20" s="6"/>
      <c r="E20" s="6"/>
      <c r="F20" s="7"/>
    </row>
    <row r="21" spans="1:6" x14ac:dyDescent="0.25">
      <c r="A21" s="6" t="s">
        <v>122</v>
      </c>
      <c r="B21" s="7" t="s">
        <v>123</v>
      </c>
      <c r="C21" s="6"/>
      <c r="D21" s="6"/>
      <c r="E21" s="6"/>
      <c r="F21" s="7"/>
    </row>
    <row r="22" spans="1:6" x14ac:dyDescent="0.25">
      <c r="A22" s="6" t="s">
        <v>124</v>
      </c>
      <c r="B22" s="7" t="s">
        <v>125</v>
      </c>
      <c r="C22" s="6"/>
      <c r="D22" s="6"/>
      <c r="E22" s="6"/>
      <c r="F22" s="7"/>
    </row>
    <row r="23" spans="1:6" x14ac:dyDescent="0.25">
      <c r="A23" s="4" t="s">
        <v>126</v>
      </c>
      <c r="B23" s="5" t="s">
        <v>127</v>
      </c>
      <c r="C23" s="4"/>
      <c r="D23" s="4"/>
      <c r="E23" s="4"/>
      <c r="F23" s="5"/>
    </row>
    <row r="24" spans="1:6" x14ac:dyDescent="0.25">
      <c r="A24" s="6" t="s">
        <v>128</v>
      </c>
      <c r="B24" s="7" t="s">
        <v>129</v>
      </c>
      <c r="C24" s="6"/>
      <c r="D24" s="6"/>
      <c r="E24" s="6"/>
      <c r="F24" s="7"/>
    </row>
    <row r="25" spans="1:6" x14ac:dyDescent="0.25">
      <c r="A25" s="6" t="s">
        <v>130</v>
      </c>
      <c r="B25" s="7" t="s">
        <v>131</v>
      </c>
      <c r="C25" s="6"/>
      <c r="D25" s="6"/>
      <c r="E25" s="6"/>
      <c r="F25" s="7"/>
    </row>
    <row r="26" spans="1:6" x14ac:dyDescent="0.25">
      <c r="A26" s="6" t="s">
        <v>132</v>
      </c>
      <c r="B26" s="7" t="s">
        <v>133</v>
      </c>
      <c r="C26" s="6"/>
      <c r="D26" s="6"/>
      <c r="E26" s="6"/>
      <c r="F26" s="7"/>
    </row>
    <row r="27" spans="1:6" x14ac:dyDescent="0.25">
      <c r="A27" s="6" t="s">
        <v>134</v>
      </c>
      <c r="B27" s="7" t="s">
        <v>135</v>
      </c>
      <c r="C27" s="6"/>
      <c r="D27" s="6"/>
      <c r="E27" s="6"/>
      <c r="F27" s="7"/>
    </row>
    <row r="28" spans="1:6" x14ac:dyDescent="0.25">
      <c r="A28" s="6" t="s">
        <v>136</v>
      </c>
      <c r="B28" s="7" t="s">
        <v>137</v>
      </c>
      <c r="C28" s="6"/>
      <c r="D28" s="6"/>
      <c r="E28" s="6"/>
      <c r="F28" s="7"/>
    </row>
    <row r="29" spans="1:6" x14ac:dyDescent="0.25">
      <c r="A29" s="6" t="s">
        <v>138</v>
      </c>
      <c r="B29" s="7" t="s">
        <v>139</v>
      </c>
      <c r="C29" s="6"/>
      <c r="D29" s="6"/>
      <c r="E29" s="6"/>
      <c r="F29" s="7"/>
    </row>
    <row r="30" spans="1:6" x14ac:dyDescent="0.25">
      <c r="A30" s="6" t="s">
        <v>140</v>
      </c>
      <c r="B30" s="7" t="s">
        <v>141</v>
      </c>
      <c r="C30" s="6"/>
      <c r="D30" s="6"/>
      <c r="E30" s="6"/>
      <c r="F30" s="7"/>
    </row>
    <row r="31" spans="1:6" x14ac:dyDescent="0.25">
      <c r="A31" s="6" t="s">
        <v>142</v>
      </c>
      <c r="B31" s="7" t="s">
        <v>143</v>
      </c>
      <c r="C31" s="6"/>
      <c r="D31" s="6"/>
      <c r="E31" s="6"/>
      <c r="F31" s="7"/>
    </row>
    <row r="32" spans="1:6" x14ac:dyDescent="0.25">
      <c r="A32" s="4" t="s">
        <v>144</v>
      </c>
      <c r="B32" s="5" t="s">
        <v>145</v>
      </c>
      <c r="C32" s="4"/>
      <c r="D32" s="4"/>
      <c r="E32" s="4"/>
      <c r="F32" s="5"/>
    </row>
    <row r="33" spans="1:6" x14ac:dyDescent="0.25">
      <c r="A33" s="6" t="s">
        <v>146</v>
      </c>
      <c r="B33" s="7" t="s">
        <v>147</v>
      </c>
      <c r="C33" s="6"/>
      <c r="D33" s="6"/>
      <c r="E33" s="6"/>
      <c r="F33" s="7"/>
    </row>
    <row r="34" spans="1:6" x14ac:dyDescent="0.25">
      <c r="A34" s="6" t="s">
        <v>148</v>
      </c>
      <c r="B34" s="7" t="s">
        <v>149</v>
      </c>
      <c r="C34" s="6"/>
      <c r="D34" s="6"/>
      <c r="E34" s="6"/>
      <c r="F34" s="7"/>
    </row>
    <row r="35" spans="1:6" x14ac:dyDescent="0.25">
      <c r="A35" s="6" t="s">
        <v>150</v>
      </c>
      <c r="B35" s="7" t="s">
        <v>151</v>
      </c>
      <c r="C35" s="6"/>
      <c r="D35" s="6"/>
      <c r="E35" s="6"/>
      <c r="F35" s="7"/>
    </row>
    <row r="36" spans="1:6" x14ac:dyDescent="0.25">
      <c r="A36" s="6" t="s">
        <v>152</v>
      </c>
      <c r="B36" s="7" t="s">
        <v>153</v>
      </c>
      <c r="C36" s="6"/>
      <c r="D36" s="6"/>
      <c r="E36" s="6"/>
      <c r="F36" s="7"/>
    </row>
    <row r="37" spans="1:6" x14ac:dyDescent="0.25">
      <c r="A37" s="6" t="s">
        <v>154</v>
      </c>
      <c r="B37" s="7" t="s">
        <v>155</v>
      </c>
      <c r="C37" s="6"/>
      <c r="D37" s="6"/>
      <c r="E37" s="6"/>
      <c r="F37" s="7"/>
    </row>
    <row r="38" spans="1:6" x14ac:dyDescent="0.25">
      <c r="A38" s="6" t="s">
        <v>156</v>
      </c>
      <c r="B38" s="7" t="s">
        <v>157</v>
      </c>
      <c r="C38" s="6"/>
      <c r="D38" s="6"/>
      <c r="E38" s="6"/>
      <c r="F38" s="7"/>
    </row>
    <row r="39" spans="1:6" x14ac:dyDescent="0.25">
      <c r="A39" s="4" t="s">
        <v>158</v>
      </c>
      <c r="B39" s="5" t="s">
        <v>159</v>
      </c>
      <c r="C39" s="4"/>
      <c r="D39" s="4"/>
      <c r="E39" s="4"/>
      <c r="F39" s="5"/>
    </row>
    <row r="40" spans="1:6" x14ac:dyDescent="0.25">
      <c r="A40" s="6" t="s">
        <v>160</v>
      </c>
      <c r="B40" s="7" t="s">
        <v>161</v>
      </c>
      <c r="C40" s="6"/>
      <c r="D40" s="6"/>
      <c r="E40" s="6"/>
      <c r="F40" s="7"/>
    </row>
    <row r="41" spans="1:6" x14ac:dyDescent="0.25">
      <c r="A41" s="6" t="s">
        <v>162</v>
      </c>
      <c r="B41" s="7" t="s">
        <v>163</v>
      </c>
      <c r="C41" s="6"/>
      <c r="D41" s="6"/>
      <c r="E41" s="6"/>
      <c r="F41" s="7"/>
    </row>
    <row r="42" spans="1:6" x14ac:dyDescent="0.25">
      <c r="A42" s="6" t="s">
        <v>164</v>
      </c>
      <c r="B42" s="7" t="s">
        <v>165</v>
      </c>
      <c r="C42" s="6"/>
      <c r="D42" s="6"/>
      <c r="E42" s="6"/>
      <c r="F42" s="7"/>
    </row>
  </sheetData>
  <mergeCells count="1">
    <mergeCell ref="A1:F1"/>
  </mergeCells>
  <dataValidations count="4">
    <dataValidation type="list" errorTitle="Invalid Entry" error="Please select Yes, No, or Partial" sqref="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xr:uid="{00000000-0002-0000-0300-000000000000}">
      <formula1>"Yes,No,Partial"</formula1>
    </dataValidation>
    <dataValidation type="list" errorTitle="Invalid Entry" error="Please select Critical, High, Medium, Low, or N/A" sqref="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xr:uid="{00000000-0002-0000-0300-000001000000}">
      <formula1>"Critical,High,Medium,Low,N/A"</formula1>
    </dataValidation>
    <dataValidation type="list" allowBlank="1" showDropDown="1" showErrorMessage="1" errorTitle="Invalid Entry" error="Please select Yes, No, or Partial" promptTitle="Applicable?" prompt="Is this process applicable to your operations?" sqref="C3:C42" xr:uid="{00000000-0002-0000-0300-000002000000}">
      <formula1>"Yes,No,Partial"</formula1>
    </dataValidation>
    <dataValidation type="list" allowBlank="1" showDropDown="1" showErrorMessage="1" errorTitle="Invalid Entry" error="Please select Critical, High, Medium, Low, or N/A" promptTitle="Criticality Level" prompt="What is the impact if this process stops for 24 hours?" sqref="D3:D42" xr:uid="{00000000-0002-0000-0300-000003000000}">
      <formula1>"Critical,High,Medium,Low,N/A"</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92"/>
  <sheetViews>
    <sheetView workbookViewId="0">
      <pane ySplit="2" topLeftCell="A60" activePane="bottomLeft" state="frozen"/>
      <selection pane="bottomLeft" activeCell="F3" sqref="C3:F92"/>
    </sheetView>
  </sheetViews>
  <sheetFormatPr defaultRowHeight="15" x14ac:dyDescent="0.25"/>
  <cols>
    <col min="1" max="1" width="12" customWidth="1"/>
    <col min="2" max="2" width="92.85546875" bestFit="1" customWidth="1"/>
    <col min="3" max="3" width="15" customWidth="1"/>
    <col min="4" max="4" width="18" customWidth="1"/>
    <col min="5" max="5" width="23.42578125" bestFit="1" customWidth="1"/>
    <col min="6" max="6" width="69.5703125" bestFit="1" customWidth="1"/>
  </cols>
  <sheetData>
    <row r="1" spans="1:6" ht="24.95" customHeight="1" x14ac:dyDescent="0.25">
      <c r="A1" s="46" t="s">
        <v>166</v>
      </c>
      <c r="B1" s="46"/>
      <c r="C1" s="46"/>
      <c r="D1" s="46"/>
      <c r="E1" s="46"/>
      <c r="F1" s="46"/>
    </row>
    <row r="2" spans="1:6" ht="30" customHeight="1" x14ac:dyDescent="0.25">
      <c r="A2" s="3" t="s">
        <v>80</v>
      </c>
      <c r="B2" s="3" t="s">
        <v>81</v>
      </c>
      <c r="C2" s="3" t="s">
        <v>82</v>
      </c>
      <c r="D2" s="3" t="s">
        <v>83</v>
      </c>
      <c r="E2" s="3" t="s">
        <v>85</v>
      </c>
      <c r="F2" s="3" t="s">
        <v>84</v>
      </c>
    </row>
    <row r="3" spans="1:6" x14ac:dyDescent="0.25">
      <c r="A3" s="4" t="s">
        <v>167</v>
      </c>
      <c r="B3" s="5" t="s">
        <v>168</v>
      </c>
      <c r="C3" s="4"/>
      <c r="D3" s="4"/>
      <c r="E3" s="4"/>
      <c r="F3" s="5"/>
    </row>
    <row r="4" spans="1:6" x14ac:dyDescent="0.25">
      <c r="A4" s="6" t="s">
        <v>169</v>
      </c>
      <c r="B4" s="7" t="s">
        <v>170</v>
      </c>
      <c r="C4" s="6"/>
      <c r="D4" s="6"/>
      <c r="E4" s="6"/>
      <c r="F4" s="7"/>
    </row>
    <row r="5" spans="1:6" x14ac:dyDescent="0.25">
      <c r="A5" s="6" t="s">
        <v>171</v>
      </c>
      <c r="B5" s="7" t="s">
        <v>172</v>
      </c>
      <c r="C5" s="6"/>
      <c r="D5" s="6"/>
      <c r="E5" s="6"/>
      <c r="F5" s="7"/>
    </row>
    <row r="6" spans="1:6" x14ac:dyDescent="0.25">
      <c r="A6" s="6" t="s">
        <v>173</v>
      </c>
      <c r="B6" s="7" t="s">
        <v>174</v>
      </c>
      <c r="C6" s="6"/>
      <c r="D6" s="6"/>
      <c r="E6" s="6"/>
      <c r="F6" s="7"/>
    </row>
    <row r="7" spans="1:6" x14ac:dyDescent="0.25">
      <c r="A7" s="6" t="s">
        <v>175</v>
      </c>
      <c r="B7" s="7" t="s">
        <v>176</v>
      </c>
      <c r="C7" s="6"/>
      <c r="D7" s="6"/>
      <c r="E7" s="6"/>
      <c r="F7" s="7"/>
    </row>
    <row r="8" spans="1:6" x14ac:dyDescent="0.25">
      <c r="A8" s="6" t="s">
        <v>177</v>
      </c>
      <c r="B8" s="7" t="s">
        <v>178</v>
      </c>
      <c r="C8" s="6"/>
      <c r="D8" s="6"/>
      <c r="E8" s="6"/>
      <c r="F8" s="7"/>
    </row>
    <row r="9" spans="1:6" x14ac:dyDescent="0.25">
      <c r="A9" s="6" t="s">
        <v>179</v>
      </c>
      <c r="B9" s="7" t="s">
        <v>180</v>
      </c>
      <c r="C9" s="6"/>
      <c r="D9" s="6"/>
      <c r="E9" s="6"/>
      <c r="F9" s="7"/>
    </row>
    <row r="10" spans="1:6" x14ac:dyDescent="0.25">
      <c r="A10" s="6" t="s">
        <v>181</v>
      </c>
      <c r="B10" s="7" t="s">
        <v>182</v>
      </c>
      <c r="C10" s="6"/>
      <c r="D10" s="6"/>
      <c r="E10" s="6"/>
      <c r="F10" s="7"/>
    </row>
    <row r="11" spans="1:6" x14ac:dyDescent="0.25">
      <c r="A11" s="6" t="s">
        <v>183</v>
      </c>
      <c r="B11" s="7" t="s">
        <v>184</v>
      </c>
      <c r="C11" s="6"/>
      <c r="D11" s="6"/>
      <c r="E11" s="6"/>
      <c r="F11" s="7"/>
    </row>
    <row r="12" spans="1:6" x14ac:dyDescent="0.25">
      <c r="A12" s="6" t="s">
        <v>185</v>
      </c>
      <c r="B12" s="7" t="s">
        <v>186</v>
      </c>
      <c r="C12" s="6"/>
      <c r="D12" s="6"/>
      <c r="E12" s="6"/>
      <c r="F12" s="7"/>
    </row>
    <row r="13" spans="1:6" x14ac:dyDescent="0.25">
      <c r="A13" s="6" t="s">
        <v>169</v>
      </c>
      <c r="B13" s="7" t="s">
        <v>187</v>
      </c>
      <c r="C13" s="6"/>
      <c r="D13" s="6"/>
      <c r="E13" s="6"/>
      <c r="F13" s="7"/>
    </row>
    <row r="14" spans="1:6" x14ac:dyDescent="0.25">
      <c r="A14" s="4" t="s">
        <v>188</v>
      </c>
      <c r="B14" s="5" t="s">
        <v>189</v>
      </c>
      <c r="C14" s="4"/>
      <c r="D14" s="4"/>
      <c r="E14" s="4"/>
      <c r="F14" s="5"/>
    </row>
    <row r="15" spans="1:6" x14ac:dyDescent="0.25">
      <c r="A15" s="6" t="s">
        <v>190</v>
      </c>
      <c r="B15" s="7" t="s">
        <v>191</v>
      </c>
      <c r="C15" s="6"/>
      <c r="D15" s="6"/>
      <c r="E15" s="6"/>
      <c r="F15" s="7"/>
    </row>
    <row r="16" spans="1:6" x14ac:dyDescent="0.25">
      <c r="A16" s="6" t="s">
        <v>192</v>
      </c>
      <c r="B16" s="7" t="s">
        <v>193</v>
      </c>
      <c r="C16" s="6"/>
      <c r="D16" s="6"/>
      <c r="E16" s="6"/>
      <c r="F16" s="7"/>
    </row>
    <row r="17" spans="1:6" x14ac:dyDescent="0.25">
      <c r="A17" s="6" t="s">
        <v>194</v>
      </c>
      <c r="B17" s="7" t="s">
        <v>195</v>
      </c>
      <c r="C17" s="6"/>
      <c r="D17" s="6"/>
      <c r="E17" s="6"/>
      <c r="F17" s="7"/>
    </row>
    <row r="18" spans="1:6" x14ac:dyDescent="0.25">
      <c r="A18" s="6" t="s">
        <v>196</v>
      </c>
      <c r="B18" s="7" t="s">
        <v>197</v>
      </c>
      <c r="C18" s="6"/>
      <c r="D18" s="6"/>
      <c r="E18" s="6"/>
      <c r="F18" s="7"/>
    </row>
    <row r="19" spans="1:6" x14ac:dyDescent="0.25">
      <c r="A19" s="6" t="s">
        <v>198</v>
      </c>
      <c r="B19" s="7" t="s">
        <v>199</v>
      </c>
      <c r="C19" s="6"/>
      <c r="D19" s="6"/>
      <c r="E19" s="6"/>
      <c r="F19" s="7"/>
    </row>
    <row r="20" spans="1:6" x14ac:dyDescent="0.25">
      <c r="A20" s="6" t="s">
        <v>200</v>
      </c>
      <c r="B20" s="7" t="s">
        <v>201</v>
      </c>
      <c r="C20" s="6"/>
      <c r="D20" s="6"/>
      <c r="E20" s="6"/>
      <c r="F20" s="7"/>
    </row>
    <row r="21" spans="1:6" x14ac:dyDescent="0.25">
      <c r="A21" s="6" t="s">
        <v>202</v>
      </c>
      <c r="B21" s="7" t="s">
        <v>203</v>
      </c>
      <c r="C21" s="6"/>
      <c r="D21" s="6"/>
      <c r="E21" s="6"/>
      <c r="F21" s="7"/>
    </row>
    <row r="22" spans="1:6" x14ac:dyDescent="0.25">
      <c r="A22" s="6" t="s">
        <v>204</v>
      </c>
      <c r="B22" s="7" t="s">
        <v>205</v>
      </c>
      <c r="C22" s="6"/>
      <c r="D22" s="6"/>
      <c r="E22" s="6"/>
      <c r="F22" s="7"/>
    </row>
    <row r="23" spans="1:6" x14ac:dyDescent="0.25">
      <c r="A23" s="6" t="s">
        <v>206</v>
      </c>
      <c r="B23" s="7" t="s">
        <v>207</v>
      </c>
      <c r="C23" s="6"/>
      <c r="D23" s="6"/>
      <c r="E23" s="6"/>
      <c r="F23" s="7"/>
    </row>
    <row r="24" spans="1:6" x14ac:dyDescent="0.25">
      <c r="A24" s="6" t="s">
        <v>190</v>
      </c>
      <c r="B24" s="7" t="s">
        <v>208</v>
      </c>
      <c r="C24" s="6"/>
      <c r="D24" s="6"/>
      <c r="E24" s="6"/>
      <c r="F24" s="7"/>
    </row>
    <row r="25" spans="1:6" x14ac:dyDescent="0.25">
      <c r="A25" s="4" t="s">
        <v>209</v>
      </c>
      <c r="B25" s="5" t="s">
        <v>210</v>
      </c>
      <c r="C25" s="4"/>
      <c r="D25" s="4"/>
      <c r="E25" s="4"/>
      <c r="F25" s="5"/>
    </row>
    <row r="26" spans="1:6" x14ac:dyDescent="0.25">
      <c r="A26" s="6" t="s">
        <v>211</v>
      </c>
      <c r="B26" s="7" t="s">
        <v>212</v>
      </c>
      <c r="C26" s="6"/>
      <c r="D26" s="6"/>
      <c r="E26" s="6"/>
      <c r="F26" s="7"/>
    </row>
    <row r="27" spans="1:6" x14ac:dyDescent="0.25">
      <c r="A27" s="6" t="s">
        <v>213</v>
      </c>
      <c r="B27" s="7" t="s">
        <v>214</v>
      </c>
      <c r="C27" s="6"/>
      <c r="D27" s="6"/>
      <c r="E27" s="6"/>
      <c r="F27" s="7"/>
    </row>
    <row r="28" spans="1:6" x14ac:dyDescent="0.25">
      <c r="A28" s="6" t="s">
        <v>215</v>
      </c>
      <c r="B28" s="7" t="s">
        <v>216</v>
      </c>
      <c r="C28" s="6"/>
      <c r="D28" s="6"/>
      <c r="E28" s="6"/>
      <c r="F28" s="7"/>
    </row>
    <row r="29" spans="1:6" x14ac:dyDescent="0.25">
      <c r="A29" s="6" t="s">
        <v>217</v>
      </c>
      <c r="B29" s="7" t="s">
        <v>218</v>
      </c>
      <c r="C29" s="6"/>
      <c r="D29" s="6"/>
      <c r="E29" s="6"/>
      <c r="F29" s="7"/>
    </row>
    <row r="30" spans="1:6" x14ac:dyDescent="0.25">
      <c r="A30" s="6" t="s">
        <v>219</v>
      </c>
      <c r="B30" s="7" t="s">
        <v>220</v>
      </c>
      <c r="C30" s="6"/>
      <c r="D30" s="6"/>
      <c r="E30" s="6"/>
      <c r="F30" s="7"/>
    </row>
    <row r="31" spans="1:6" x14ac:dyDescent="0.25">
      <c r="A31" s="6" t="s">
        <v>221</v>
      </c>
      <c r="B31" s="7" t="s">
        <v>222</v>
      </c>
      <c r="C31" s="6"/>
      <c r="D31" s="6"/>
      <c r="E31" s="6"/>
      <c r="F31" s="7"/>
    </row>
    <row r="32" spans="1:6" x14ac:dyDescent="0.25">
      <c r="A32" s="6" t="s">
        <v>223</v>
      </c>
      <c r="B32" s="7" t="s">
        <v>224</v>
      </c>
      <c r="C32" s="6"/>
      <c r="D32" s="6"/>
      <c r="E32" s="6"/>
      <c r="F32" s="7"/>
    </row>
    <row r="33" spans="1:6" x14ac:dyDescent="0.25">
      <c r="A33" s="6" t="s">
        <v>225</v>
      </c>
      <c r="B33" s="7" t="s">
        <v>226</v>
      </c>
      <c r="C33" s="6"/>
      <c r="D33" s="6"/>
      <c r="E33" s="6"/>
      <c r="F33" s="7"/>
    </row>
    <row r="34" spans="1:6" x14ac:dyDescent="0.25">
      <c r="A34" s="6" t="s">
        <v>227</v>
      </c>
      <c r="B34" s="7" t="s">
        <v>228</v>
      </c>
      <c r="C34" s="6"/>
      <c r="D34" s="6"/>
      <c r="E34" s="6"/>
      <c r="F34" s="7"/>
    </row>
    <row r="35" spans="1:6" x14ac:dyDescent="0.25">
      <c r="A35" s="6" t="s">
        <v>211</v>
      </c>
      <c r="B35" s="7" t="s">
        <v>229</v>
      </c>
      <c r="C35" s="6"/>
      <c r="D35" s="6"/>
      <c r="E35" s="6"/>
      <c r="F35" s="7"/>
    </row>
    <row r="36" spans="1:6" x14ac:dyDescent="0.25">
      <c r="A36" s="6" t="s">
        <v>230</v>
      </c>
      <c r="B36" s="7" t="s">
        <v>231</v>
      </c>
      <c r="C36" s="6"/>
      <c r="D36" s="6"/>
      <c r="E36" s="6"/>
      <c r="F36" s="7"/>
    </row>
    <row r="37" spans="1:6" x14ac:dyDescent="0.25">
      <c r="A37" s="6" t="s">
        <v>232</v>
      </c>
      <c r="B37" s="7" t="s">
        <v>233</v>
      </c>
      <c r="C37" s="6"/>
      <c r="D37" s="6"/>
      <c r="E37" s="6"/>
      <c r="F37" s="7"/>
    </row>
    <row r="38" spans="1:6" x14ac:dyDescent="0.25">
      <c r="A38" s="6" t="s">
        <v>234</v>
      </c>
      <c r="B38" s="7" t="s">
        <v>235</v>
      </c>
      <c r="C38" s="6"/>
      <c r="D38" s="6"/>
      <c r="E38" s="6"/>
      <c r="F38" s="7"/>
    </row>
    <row r="39" spans="1:6" x14ac:dyDescent="0.25">
      <c r="A39" s="6" t="s">
        <v>236</v>
      </c>
      <c r="B39" s="7" t="s">
        <v>237</v>
      </c>
      <c r="C39" s="6"/>
      <c r="D39" s="6"/>
      <c r="E39" s="6"/>
      <c r="F39" s="7"/>
    </row>
    <row r="40" spans="1:6" x14ac:dyDescent="0.25">
      <c r="A40" s="6" t="s">
        <v>238</v>
      </c>
      <c r="B40" s="7" t="s">
        <v>239</v>
      </c>
      <c r="C40" s="6"/>
      <c r="D40" s="6"/>
      <c r="E40" s="6"/>
      <c r="F40" s="7"/>
    </row>
    <row r="41" spans="1:6" x14ac:dyDescent="0.25">
      <c r="A41" s="6" t="s">
        <v>240</v>
      </c>
      <c r="B41" s="7" t="s">
        <v>241</v>
      </c>
      <c r="C41" s="6"/>
      <c r="D41" s="6"/>
      <c r="E41" s="6"/>
      <c r="F41" s="7"/>
    </row>
    <row r="42" spans="1:6" x14ac:dyDescent="0.25">
      <c r="A42" s="4" t="s">
        <v>242</v>
      </c>
      <c r="B42" s="5" t="s">
        <v>243</v>
      </c>
      <c r="C42" s="4"/>
      <c r="D42" s="4"/>
      <c r="E42" s="4"/>
      <c r="F42" s="5"/>
    </row>
    <row r="43" spans="1:6" x14ac:dyDescent="0.25">
      <c r="A43" s="6" t="s">
        <v>244</v>
      </c>
      <c r="B43" s="7" t="s">
        <v>245</v>
      </c>
      <c r="C43" s="6"/>
      <c r="D43" s="6"/>
      <c r="E43" s="6"/>
      <c r="F43" s="7"/>
    </row>
    <row r="44" spans="1:6" x14ac:dyDescent="0.25">
      <c r="A44" s="6" t="s">
        <v>246</v>
      </c>
      <c r="B44" s="7" t="s">
        <v>247</v>
      </c>
      <c r="C44" s="6"/>
      <c r="D44" s="6"/>
      <c r="E44" s="6"/>
      <c r="F44" s="7"/>
    </row>
    <row r="45" spans="1:6" x14ac:dyDescent="0.25">
      <c r="A45" s="6" t="s">
        <v>248</v>
      </c>
      <c r="B45" s="7" t="s">
        <v>249</v>
      </c>
      <c r="C45" s="6"/>
      <c r="D45" s="6"/>
      <c r="E45" s="6"/>
      <c r="F45" s="7"/>
    </row>
    <row r="46" spans="1:6" x14ac:dyDescent="0.25">
      <c r="A46" s="6" t="s">
        <v>250</v>
      </c>
      <c r="B46" s="7" t="s">
        <v>251</v>
      </c>
      <c r="C46" s="6"/>
      <c r="D46" s="6"/>
      <c r="E46" s="6"/>
      <c r="F46" s="7"/>
    </row>
    <row r="47" spans="1:6" x14ac:dyDescent="0.25">
      <c r="A47" s="6" t="s">
        <v>252</v>
      </c>
      <c r="B47" s="7" t="s">
        <v>253</v>
      </c>
      <c r="C47" s="6"/>
      <c r="D47" s="6"/>
      <c r="E47" s="6"/>
      <c r="F47" s="7"/>
    </row>
    <row r="48" spans="1:6" x14ac:dyDescent="0.25">
      <c r="A48" s="6" t="s">
        <v>254</v>
      </c>
      <c r="B48" s="7" t="s">
        <v>255</v>
      </c>
      <c r="C48" s="6"/>
      <c r="D48" s="6"/>
      <c r="E48" s="6"/>
      <c r="F48" s="7"/>
    </row>
    <row r="49" spans="1:6" x14ac:dyDescent="0.25">
      <c r="A49" s="6" t="s">
        <v>256</v>
      </c>
      <c r="B49" s="7" t="s">
        <v>257</v>
      </c>
      <c r="C49" s="6"/>
      <c r="D49" s="6"/>
      <c r="E49" s="6"/>
      <c r="F49" s="7"/>
    </row>
    <row r="50" spans="1:6" x14ac:dyDescent="0.25">
      <c r="A50" s="4" t="s">
        <v>258</v>
      </c>
      <c r="B50" s="5" t="s">
        <v>259</v>
      </c>
      <c r="C50" s="4"/>
      <c r="D50" s="4"/>
      <c r="E50" s="4"/>
      <c r="F50" s="5"/>
    </row>
    <row r="51" spans="1:6" x14ac:dyDescent="0.25">
      <c r="A51" s="6" t="s">
        <v>260</v>
      </c>
      <c r="B51" s="7" t="s">
        <v>261</v>
      </c>
      <c r="C51" s="6"/>
      <c r="D51" s="6"/>
      <c r="E51" s="6"/>
      <c r="F51" s="7"/>
    </row>
    <row r="52" spans="1:6" x14ac:dyDescent="0.25">
      <c r="A52" s="6" t="s">
        <v>262</v>
      </c>
      <c r="B52" s="7" t="s">
        <v>263</v>
      </c>
      <c r="C52" s="6"/>
      <c r="D52" s="6"/>
      <c r="E52" s="6"/>
      <c r="F52" s="7"/>
    </row>
    <row r="53" spans="1:6" x14ac:dyDescent="0.25">
      <c r="A53" s="6" t="s">
        <v>264</v>
      </c>
      <c r="B53" s="7" t="s">
        <v>265</v>
      </c>
      <c r="C53" s="6"/>
      <c r="D53" s="6"/>
      <c r="E53" s="6"/>
      <c r="F53" s="7"/>
    </row>
    <row r="54" spans="1:6" x14ac:dyDescent="0.25">
      <c r="A54" s="6" t="s">
        <v>266</v>
      </c>
      <c r="B54" s="7" t="s">
        <v>267</v>
      </c>
      <c r="C54" s="6"/>
      <c r="D54" s="6"/>
      <c r="E54" s="6"/>
      <c r="F54" s="7"/>
    </row>
    <row r="55" spans="1:6" x14ac:dyDescent="0.25">
      <c r="A55" s="4" t="s">
        <v>268</v>
      </c>
      <c r="B55" s="5" t="s">
        <v>269</v>
      </c>
      <c r="C55" s="4"/>
      <c r="D55" s="4"/>
      <c r="E55" s="4"/>
      <c r="F55" s="5"/>
    </row>
    <row r="56" spans="1:6" x14ac:dyDescent="0.25">
      <c r="A56" s="6" t="s">
        <v>270</v>
      </c>
      <c r="B56" s="7" t="s">
        <v>271</v>
      </c>
      <c r="C56" s="6"/>
      <c r="D56" s="6"/>
      <c r="E56" s="6"/>
      <c r="F56" s="7"/>
    </row>
    <row r="57" spans="1:6" x14ac:dyDescent="0.25">
      <c r="A57" s="6" t="s">
        <v>272</v>
      </c>
      <c r="B57" s="7" t="s">
        <v>273</v>
      </c>
      <c r="C57" s="6"/>
      <c r="D57" s="6"/>
      <c r="E57" s="6"/>
      <c r="F57" s="7"/>
    </row>
    <row r="58" spans="1:6" x14ac:dyDescent="0.25">
      <c r="A58" s="6" t="s">
        <v>274</v>
      </c>
      <c r="B58" s="7" t="s">
        <v>275</v>
      </c>
      <c r="C58" s="6"/>
      <c r="D58" s="6"/>
      <c r="E58" s="6"/>
      <c r="F58" s="7"/>
    </row>
    <row r="59" spans="1:6" x14ac:dyDescent="0.25">
      <c r="A59" s="4" t="s">
        <v>276</v>
      </c>
      <c r="B59" s="5" t="s">
        <v>277</v>
      </c>
      <c r="C59" s="4"/>
      <c r="D59" s="4"/>
      <c r="E59" s="4"/>
      <c r="F59" s="5"/>
    </row>
    <row r="60" spans="1:6" x14ac:dyDescent="0.25">
      <c r="A60" s="6" t="s">
        <v>278</v>
      </c>
      <c r="B60" s="7" t="s">
        <v>279</v>
      </c>
      <c r="C60" s="6"/>
      <c r="D60" s="6"/>
      <c r="E60" s="6"/>
      <c r="F60" s="7"/>
    </row>
    <row r="61" spans="1:6" x14ac:dyDescent="0.25">
      <c r="A61" s="6" t="s">
        <v>280</v>
      </c>
      <c r="B61" s="7" t="s">
        <v>281</v>
      </c>
      <c r="C61" s="6"/>
      <c r="D61" s="6"/>
      <c r="E61" s="6"/>
      <c r="F61" s="7"/>
    </row>
    <row r="62" spans="1:6" x14ac:dyDescent="0.25">
      <c r="A62" s="6" t="s">
        <v>282</v>
      </c>
      <c r="B62" s="7" t="s">
        <v>283</v>
      </c>
      <c r="C62" s="6"/>
      <c r="D62" s="6"/>
      <c r="E62" s="6"/>
      <c r="F62" s="7"/>
    </row>
    <row r="63" spans="1:6" x14ac:dyDescent="0.25">
      <c r="A63" s="6" t="s">
        <v>284</v>
      </c>
      <c r="B63" s="7" t="s">
        <v>285</v>
      </c>
      <c r="C63" s="6"/>
      <c r="D63" s="6"/>
      <c r="E63" s="6"/>
      <c r="F63" s="7"/>
    </row>
    <row r="64" spans="1:6" x14ac:dyDescent="0.25">
      <c r="A64" s="6" t="s">
        <v>286</v>
      </c>
      <c r="B64" s="7" t="s">
        <v>287</v>
      </c>
      <c r="C64" s="6"/>
      <c r="D64" s="6"/>
      <c r="E64" s="6"/>
      <c r="F64" s="7"/>
    </row>
    <row r="65" spans="1:6" x14ac:dyDescent="0.25">
      <c r="A65" s="6" t="s">
        <v>288</v>
      </c>
      <c r="B65" s="7" t="s">
        <v>289</v>
      </c>
      <c r="C65" s="6"/>
      <c r="D65" s="6"/>
      <c r="E65" s="6"/>
      <c r="F65" s="7"/>
    </row>
    <row r="66" spans="1:6" x14ac:dyDescent="0.25">
      <c r="A66" s="6" t="s">
        <v>290</v>
      </c>
      <c r="B66" s="7" t="s">
        <v>291</v>
      </c>
      <c r="C66" s="6"/>
      <c r="D66" s="6"/>
      <c r="E66" s="6"/>
      <c r="F66" s="7"/>
    </row>
    <row r="67" spans="1:6" x14ac:dyDescent="0.25">
      <c r="A67" s="6" t="s">
        <v>292</v>
      </c>
      <c r="B67" s="7" t="s">
        <v>293</v>
      </c>
      <c r="C67" s="6"/>
      <c r="D67" s="6"/>
      <c r="E67" s="6"/>
      <c r="F67" s="7"/>
    </row>
    <row r="68" spans="1:6" x14ac:dyDescent="0.25">
      <c r="A68" s="4" t="s">
        <v>294</v>
      </c>
      <c r="B68" s="5" t="s">
        <v>295</v>
      </c>
      <c r="C68" s="4"/>
      <c r="D68" s="4"/>
      <c r="E68" s="4"/>
      <c r="F68" s="5"/>
    </row>
    <row r="69" spans="1:6" x14ac:dyDescent="0.25">
      <c r="A69" s="6" t="s">
        <v>296</v>
      </c>
      <c r="B69" s="7" t="s">
        <v>297</v>
      </c>
      <c r="C69" s="6"/>
      <c r="D69" s="6"/>
      <c r="E69" s="6"/>
      <c r="F69" s="7"/>
    </row>
    <row r="70" spans="1:6" x14ac:dyDescent="0.25">
      <c r="A70" s="4" t="s">
        <v>298</v>
      </c>
      <c r="B70" s="5" t="s">
        <v>299</v>
      </c>
      <c r="C70" s="4"/>
      <c r="D70" s="4"/>
      <c r="E70" s="4"/>
      <c r="F70" s="5"/>
    </row>
    <row r="71" spans="1:6" x14ac:dyDescent="0.25">
      <c r="A71" s="6" t="s">
        <v>300</v>
      </c>
      <c r="B71" s="7" t="s">
        <v>301</v>
      </c>
      <c r="C71" s="6"/>
      <c r="D71" s="6"/>
      <c r="E71" s="6"/>
      <c r="F71" s="7"/>
    </row>
    <row r="72" spans="1:6" x14ac:dyDescent="0.25">
      <c r="A72" s="6" t="s">
        <v>302</v>
      </c>
      <c r="B72" s="7" t="s">
        <v>303</v>
      </c>
      <c r="C72" s="6"/>
      <c r="D72" s="6"/>
      <c r="E72" s="6"/>
      <c r="F72" s="7"/>
    </row>
    <row r="73" spans="1:6" x14ac:dyDescent="0.25">
      <c r="A73" s="6" t="s">
        <v>304</v>
      </c>
      <c r="B73" s="7" t="s">
        <v>305</v>
      </c>
      <c r="C73" s="6"/>
      <c r="D73" s="6"/>
      <c r="E73" s="6"/>
      <c r="F73" s="7"/>
    </row>
    <row r="74" spans="1:6" x14ac:dyDescent="0.25">
      <c r="A74" s="6" t="s">
        <v>306</v>
      </c>
      <c r="B74" s="7" t="s">
        <v>307</v>
      </c>
      <c r="C74" s="6"/>
      <c r="D74" s="6"/>
      <c r="E74" s="6"/>
      <c r="F74" s="7"/>
    </row>
    <row r="75" spans="1:6" x14ac:dyDescent="0.25">
      <c r="A75" s="6" t="s">
        <v>308</v>
      </c>
      <c r="B75" s="7" t="s">
        <v>309</v>
      </c>
      <c r="C75" s="6"/>
      <c r="D75" s="6"/>
      <c r="E75" s="6"/>
      <c r="F75" s="7"/>
    </row>
    <row r="76" spans="1:6" x14ac:dyDescent="0.25">
      <c r="A76" s="4" t="s">
        <v>310</v>
      </c>
      <c r="B76" s="5" t="s">
        <v>311</v>
      </c>
      <c r="C76" s="4"/>
      <c r="D76" s="4"/>
      <c r="E76" s="4"/>
      <c r="F76" s="5"/>
    </row>
    <row r="77" spans="1:6" x14ac:dyDescent="0.25">
      <c r="A77" s="6" t="s">
        <v>312</v>
      </c>
      <c r="B77" s="7" t="s">
        <v>313</v>
      </c>
      <c r="C77" s="6"/>
      <c r="D77" s="6"/>
      <c r="E77" s="6"/>
      <c r="F77" s="7"/>
    </row>
    <row r="78" spans="1:6" x14ac:dyDescent="0.25">
      <c r="A78" s="6" t="s">
        <v>314</v>
      </c>
      <c r="B78" s="7" t="s">
        <v>315</v>
      </c>
      <c r="C78" s="6"/>
      <c r="D78" s="6"/>
      <c r="E78" s="6"/>
      <c r="F78" s="7"/>
    </row>
    <row r="79" spans="1:6" x14ac:dyDescent="0.25">
      <c r="A79" s="6" t="s">
        <v>316</v>
      </c>
      <c r="B79" s="7" t="s">
        <v>317</v>
      </c>
      <c r="C79" s="6"/>
      <c r="D79" s="6"/>
      <c r="E79" s="6"/>
      <c r="F79" s="7"/>
    </row>
    <row r="80" spans="1:6" x14ac:dyDescent="0.25">
      <c r="A80" s="6" t="s">
        <v>318</v>
      </c>
      <c r="B80" s="7" t="s">
        <v>319</v>
      </c>
      <c r="C80" s="6"/>
      <c r="D80" s="6"/>
      <c r="E80" s="6"/>
      <c r="F80" s="7"/>
    </row>
    <row r="81" spans="1:6" x14ac:dyDescent="0.25">
      <c r="A81" s="6" t="s">
        <v>320</v>
      </c>
      <c r="B81" s="7" t="s">
        <v>321</v>
      </c>
      <c r="C81" s="6"/>
      <c r="D81" s="6"/>
      <c r="E81" s="6"/>
      <c r="F81" s="7"/>
    </row>
    <row r="82" spans="1:6" x14ac:dyDescent="0.25">
      <c r="A82" s="6" t="s">
        <v>322</v>
      </c>
      <c r="B82" s="7" t="s">
        <v>323</v>
      </c>
      <c r="C82" s="6"/>
      <c r="D82" s="6"/>
      <c r="E82" s="6"/>
      <c r="F82" s="7"/>
    </row>
    <row r="83" spans="1:6" x14ac:dyDescent="0.25">
      <c r="A83" s="4" t="s">
        <v>324</v>
      </c>
      <c r="B83" s="5" t="s">
        <v>325</v>
      </c>
      <c r="C83" s="4"/>
      <c r="D83" s="4"/>
      <c r="E83" s="4"/>
      <c r="F83" s="5"/>
    </row>
    <row r="84" spans="1:6" x14ac:dyDescent="0.25">
      <c r="A84" s="6" t="s">
        <v>326</v>
      </c>
      <c r="B84" s="7" t="s">
        <v>327</v>
      </c>
      <c r="C84" s="6"/>
      <c r="D84" s="6"/>
      <c r="E84" s="6"/>
      <c r="F84" s="7"/>
    </row>
    <row r="85" spans="1:6" x14ac:dyDescent="0.25">
      <c r="A85" s="6" t="s">
        <v>328</v>
      </c>
      <c r="B85" s="7" t="s">
        <v>329</v>
      </c>
      <c r="C85" s="6"/>
      <c r="D85" s="6"/>
      <c r="E85" s="6"/>
      <c r="F85" s="7"/>
    </row>
    <row r="86" spans="1:6" x14ac:dyDescent="0.25">
      <c r="A86" s="6" t="s">
        <v>330</v>
      </c>
      <c r="B86" s="7" t="s">
        <v>331</v>
      </c>
      <c r="C86" s="6"/>
      <c r="D86" s="6"/>
      <c r="E86" s="6"/>
      <c r="F86" s="7"/>
    </row>
    <row r="87" spans="1:6" x14ac:dyDescent="0.25">
      <c r="A87" s="6" t="s">
        <v>332</v>
      </c>
      <c r="B87" s="7" t="s">
        <v>333</v>
      </c>
      <c r="C87" s="6"/>
      <c r="D87" s="6"/>
      <c r="E87" s="6"/>
      <c r="F87" s="7"/>
    </row>
    <row r="88" spans="1:6" x14ac:dyDescent="0.25">
      <c r="A88" s="6" t="s">
        <v>334</v>
      </c>
      <c r="B88" s="7" t="s">
        <v>335</v>
      </c>
      <c r="C88" s="6"/>
      <c r="D88" s="6"/>
      <c r="E88" s="6"/>
      <c r="F88" s="7"/>
    </row>
    <row r="89" spans="1:6" x14ac:dyDescent="0.25">
      <c r="A89" s="6" t="s">
        <v>336</v>
      </c>
      <c r="B89" s="7" t="s">
        <v>337</v>
      </c>
      <c r="C89" s="6"/>
      <c r="D89" s="6"/>
      <c r="E89" s="6"/>
      <c r="F89" s="7"/>
    </row>
    <row r="90" spans="1:6" x14ac:dyDescent="0.25">
      <c r="A90" s="4" t="s">
        <v>338</v>
      </c>
      <c r="B90" s="5" t="s">
        <v>339</v>
      </c>
      <c r="C90" s="4"/>
      <c r="D90" s="4"/>
      <c r="E90" s="4"/>
      <c r="F90" s="5"/>
    </row>
    <row r="91" spans="1:6" x14ac:dyDescent="0.25">
      <c r="A91" s="6" t="s">
        <v>340</v>
      </c>
      <c r="B91" s="7" t="s">
        <v>341</v>
      </c>
      <c r="C91" s="6"/>
      <c r="D91" s="6"/>
      <c r="E91" s="6"/>
      <c r="F91" s="7"/>
    </row>
    <row r="92" spans="1:6" x14ac:dyDescent="0.25">
      <c r="A92" s="6" t="s">
        <v>342</v>
      </c>
      <c r="B92" s="7" t="s">
        <v>343</v>
      </c>
      <c r="C92" s="6"/>
      <c r="D92" s="6"/>
      <c r="E92" s="6"/>
      <c r="F92" s="7"/>
    </row>
  </sheetData>
  <mergeCells count="1">
    <mergeCell ref="A1:F1"/>
  </mergeCells>
  <dataValidations count="4">
    <dataValidation type="list" errorTitle="Invalid Entry" error="Please select Yes, No, or Partial" sqref="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xr:uid="{00000000-0002-0000-0400-000000000000}">
      <formula1>"Yes,No,Partial"</formula1>
    </dataValidation>
    <dataValidation type="list" errorTitle="Invalid Entry" error="Please select Critical, High, Medium, Low, or N/A" sqref="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xr:uid="{00000000-0002-0000-0400-000001000000}">
      <formula1>"Critical,High,Medium,Low,N/A"</formula1>
    </dataValidation>
    <dataValidation type="list" allowBlank="1" showDropDown="1" showErrorMessage="1" errorTitle="Invalid Entry" error="Please select Yes, No, or Partial" promptTitle="Applicable?" prompt="Is this process applicable to your operations?" sqref="C3:C92" xr:uid="{00000000-0002-0000-0400-000002000000}">
      <formula1>"Yes,No,Partial"</formula1>
    </dataValidation>
    <dataValidation type="list" allowBlank="1" showDropDown="1" showErrorMessage="1" errorTitle="Invalid Entry" error="Please select Critical, High, Medium, Low, or N/A" promptTitle="Criticality Level" prompt="What is the impact if this process stops for 24 hours?" sqref="D3:D92" xr:uid="{00000000-0002-0000-0400-000003000000}">
      <formula1>"Critical,High,Medium,Low,N/A"</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1"/>
  <sheetViews>
    <sheetView workbookViewId="0">
      <pane ySplit="2" topLeftCell="A9" activePane="bottomLeft" state="frozen"/>
      <selection pane="bottomLeft" activeCell="F3" sqref="C3:F41"/>
    </sheetView>
  </sheetViews>
  <sheetFormatPr defaultRowHeight="15" x14ac:dyDescent="0.25"/>
  <cols>
    <col min="1" max="1" width="12" customWidth="1"/>
    <col min="2" max="2" width="60" customWidth="1"/>
    <col min="3" max="3" width="15" customWidth="1"/>
    <col min="4" max="4" width="18" customWidth="1"/>
    <col min="5" max="5" width="23.42578125" bestFit="1" customWidth="1"/>
    <col min="6" max="6" width="60" bestFit="1" customWidth="1"/>
  </cols>
  <sheetData>
    <row r="1" spans="1:6" ht="24.95" customHeight="1" x14ac:dyDescent="0.25">
      <c r="A1" s="46" t="s">
        <v>344</v>
      </c>
      <c r="B1" s="46"/>
      <c r="C1" s="46"/>
      <c r="D1" s="46"/>
      <c r="E1" s="46"/>
      <c r="F1" s="46"/>
    </row>
    <row r="2" spans="1:6" ht="30" customHeight="1" x14ac:dyDescent="0.25">
      <c r="A2" s="3" t="s">
        <v>80</v>
      </c>
      <c r="B2" s="3" t="s">
        <v>81</v>
      </c>
      <c r="C2" s="3" t="s">
        <v>82</v>
      </c>
      <c r="D2" s="3" t="s">
        <v>83</v>
      </c>
      <c r="E2" s="3" t="s">
        <v>85</v>
      </c>
      <c r="F2" s="3" t="s">
        <v>84</v>
      </c>
    </row>
    <row r="3" spans="1:6" x14ac:dyDescent="0.25">
      <c r="A3" s="4" t="s">
        <v>345</v>
      </c>
      <c r="B3" s="5" t="s">
        <v>346</v>
      </c>
      <c r="C3" s="4"/>
      <c r="D3" s="4"/>
      <c r="E3" s="4"/>
      <c r="F3" s="5"/>
    </row>
    <row r="4" spans="1:6" x14ac:dyDescent="0.25">
      <c r="A4" s="6" t="s">
        <v>347</v>
      </c>
      <c r="B4" s="7" t="s">
        <v>348</v>
      </c>
      <c r="C4" s="6"/>
      <c r="D4" s="6"/>
      <c r="E4" s="6"/>
      <c r="F4" s="7"/>
    </row>
    <row r="5" spans="1:6" x14ac:dyDescent="0.25">
      <c r="A5" s="6" t="s">
        <v>349</v>
      </c>
      <c r="B5" s="7" t="s">
        <v>350</v>
      </c>
      <c r="C5" s="6"/>
      <c r="D5" s="6"/>
      <c r="E5" s="6"/>
      <c r="F5" s="7"/>
    </row>
    <row r="6" spans="1:6" x14ac:dyDescent="0.25">
      <c r="A6" s="6" t="s">
        <v>351</v>
      </c>
      <c r="B6" s="7" t="s">
        <v>352</v>
      </c>
      <c r="C6" s="6"/>
      <c r="D6" s="6"/>
      <c r="E6" s="6"/>
      <c r="F6" s="7"/>
    </row>
    <row r="7" spans="1:6" x14ac:dyDescent="0.25">
      <c r="A7" s="4" t="s">
        <v>353</v>
      </c>
      <c r="B7" s="5" t="s">
        <v>354</v>
      </c>
      <c r="C7" s="4"/>
      <c r="D7" s="4"/>
      <c r="E7" s="4"/>
      <c r="F7" s="5"/>
    </row>
    <row r="8" spans="1:6" x14ac:dyDescent="0.25">
      <c r="A8" s="6" t="s">
        <v>355</v>
      </c>
      <c r="B8" s="7" t="s">
        <v>356</v>
      </c>
      <c r="C8" s="6"/>
      <c r="D8" s="6"/>
      <c r="E8" s="6"/>
      <c r="F8" s="7"/>
    </row>
    <row r="9" spans="1:6" x14ac:dyDescent="0.25">
      <c r="A9" s="6" t="s">
        <v>357</v>
      </c>
      <c r="B9" s="7" t="s">
        <v>358</v>
      </c>
      <c r="C9" s="6"/>
      <c r="D9" s="6"/>
      <c r="E9" s="6"/>
      <c r="F9" s="7"/>
    </row>
    <row r="10" spans="1:6" x14ac:dyDescent="0.25">
      <c r="A10" s="6" t="s">
        <v>359</v>
      </c>
      <c r="B10" s="7" t="s">
        <v>360</v>
      </c>
      <c r="C10" s="6"/>
      <c r="D10" s="6"/>
      <c r="E10" s="6"/>
      <c r="F10" s="7"/>
    </row>
    <row r="11" spans="1:6" x14ac:dyDescent="0.25">
      <c r="A11" s="6" t="s">
        <v>361</v>
      </c>
      <c r="B11" s="7" t="s">
        <v>362</v>
      </c>
      <c r="C11" s="6"/>
      <c r="D11" s="6"/>
      <c r="E11" s="6"/>
      <c r="F11" s="7"/>
    </row>
    <row r="12" spans="1:6" x14ac:dyDescent="0.25">
      <c r="A12" s="6" t="s">
        <v>363</v>
      </c>
      <c r="B12" s="7" t="s">
        <v>364</v>
      </c>
      <c r="C12" s="6"/>
      <c r="D12" s="6"/>
      <c r="E12" s="6"/>
      <c r="F12" s="7"/>
    </row>
    <row r="13" spans="1:6" x14ac:dyDescent="0.25">
      <c r="A13" s="4" t="s">
        <v>365</v>
      </c>
      <c r="B13" s="5" t="s">
        <v>366</v>
      </c>
      <c r="C13" s="4"/>
      <c r="D13" s="4"/>
      <c r="E13" s="4"/>
      <c r="F13" s="5"/>
    </row>
    <row r="14" spans="1:6" x14ac:dyDescent="0.25">
      <c r="A14" s="6" t="s">
        <v>367</v>
      </c>
      <c r="B14" s="7" t="s">
        <v>368</v>
      </c>
      <c r="C14" s="6"/>
      <c r="D14" s="6"/>
      <c r="E14" s="6"/>
      <c r="F14" s="7"/>
    </row>
    <row r="15" spans="1:6" x14ac:dyDescent="0.25">
      <c r="A15" s="6" t="s">
        <v>369</v>
      </c>
      <c r="B15" s="7" t="s">
        <v>370</v>
      </c>
      <c r="C15" s="6"/>
      <c r="D15" s="6"/>
      <c r="E15" s="6"/>
      <c r="F15" s="7"/>
    </row>
    <row r="16" spans="1:6" x14ac:dyDescent="0.25">
      <c r="A16" s="6" t="s">
        <v>371</v>
      </c>
      <c r="B16" s="7" t="s">
        <v>372</v>
      </c>
      <c r="C16" s="6"/>
      <c r="D16" s="6"/>
      <c r="E16" s="6"/>
      <c r="F16" s="7"/>
    </row>
    <row r="17" spans="1:6" x14ac:dyDescent="0.25">
      <c r="A17" s="6" t="s">
        <v>373</v>
      </c>
      <c r="B17" s="7" t="s">
        <v>374</v>
      </c>
      <c r="C17" s="6"/>
      <c r="D17" s="6"/>
      <c r="E17" s="6"/>
      <c r="F17" s="7"/>
    </row>
    <row r="18" spans="1:6" x14ac:dyDescent="0.25">
      <c r="A18" s="6" t="s">
        <v>375</v>
      </c>
      <c r="B18" s="7" t="s">
        <v>376</v>
      </c>
      <c r="C18" s="6"/>
      <c r="D18" s="6"/>
      <c r="E18" s="6"/>
      <c r="F18" s="7"/>
    </row>
    <row r="19" spans="1:6" x14ac:dyDescent="0.25">
      <c r="A19" s="4" t="s">
        <v>377</v>
      </c>
      <c r="B19" s="5" t="s">
        <v>378</v>
      </c>
      <c r="C19" s="4"/>
      <c r="D19" s="4"/>
      <c r="E19" s="4"/>
      <c r="F19" s="5"/>
    </row>
    <row r="20" spans="1:6" x14ac:dyDescent="0.25">
      <c r="A20" s="6" t="s">
        <v>379</v>
      </c>
      <c r="B20" s="7" t="s">
        <v>380</v>
      </c>
      <c r="C20" s="6"/>
      <c r="D20" s="6"/>
      <c r="E20" s="6"/>
      <c r="F20" s="7"/>
    </row>
    <row r="21" spans="1:6" x14ac:dyDescent="0.25">
      <c r="A21" s="4" t="s">
        <v>381</v>
      </c>
      <c r="B21" s="5" t="s">
        <v>382</v>
      </c>
      <c r="C21" s="4"/>
      <c r="D21" s="4"/>
      <c r="E21" s="4"/>
      <c r="F21" s="5"/>
    </row>
    <row r="22" spans="1:6" x14ac:dyDescent="0.25">
      <c r="A22" s="6" t="s">
        <v>383</v>
      </c>
      <c r="B22" s="7" t="s">
        <v>384</v>
      </c>
      <c r="C22" s="6"/>
      <c r="D22" s="6"/>
      <c r="E22" s="6"/>
      <c r="F22" s="7"/>
    </row>
    <row r="23" spans="1:6" x14ac:dyDescent="0.25">
      <c r="A23" s="6" t="s">
        <v>385</v>
      </c>
      <c r="B23" s="7" t="s">
        <v>386</v>
      </c>
      <c r="C23" s="6"/>
      <c r="D23" s="6"/>
      <c r="E23" s="6"/>
      <c r="F23" s="7"/>
    </row>
    <row r="24" spans="1:6" x14ac:dyDescent="0.25">
      <c r="A24" s="6" t="s">
        <v>387</v>
      </c>
      <c r="B24" s="7" t="s">
        <v>388</v>
      </c>
      <c r="C24" s="6"/>
      <c r="D24" s="6"/>
      <c r="E24" s="6"/>
      <c r="F24" s="7"/>
    </row>
    <row r="25" spans="1:6" x14ac:dyDescent="0.25">
      <c r="A25" s="6" t="s">
        <v>389</v>
      </c>
      <c r="B25" s="7" t="s">
        <v>390</v>
      </c>
      <c r="C25" s="6"/>
      <c r="D25" s="6"/>
      <c r="E25" s="6"/>
      <c r="F25" s="7"/>
    </row>
    <row r="26" spans="1:6" x14ac:dyDescent="0.25">
      <c r="A26" s="6" t="s">
        <v>391</v>
      </c>
      <c r="B26" s="7" t="s">
        <v>392</v>
      </c>
      <c r="C26" s="6"/>
      <c r="D26" s="6"/>
      <c r="E26" s="6"/>
      <c r="F26" s="7"/>
    </row>
    <row r="27" spans="1:6" x14ac:dyDescent="0.25">
      <c r="A27" s="6" t="s">
        <v>393</v>
      </c>
      <c r="B27" s="7" t="s">
        <v>394</v>
      </c>
      <c r="C27" s="6"/>
      <c r="D27" s="6"/>
      <c r="E27" s="6"/>
      <c r="F27" s="7"/>
    </row>
    <row r="28" spans="1:6" x14ac:dyDescent="0.25">
      <c r="A28" s="4" t="s">
        <v>395</v>
      </c>
      <c r="B28" s="5" t="s">
        <v>396</v>
      </c>
      <c r="C28" s="4"/>
      <c r="D28" s="4"/>
      <c r="E28" s="4"/>
      <c r="F28" s="5"/>
    </row>
    <row r="29" spans="1:6" x14ac:dyDescent="0.25">
      <c r="A29" s="6" t="s">
        <v>397</v>
      </c>
      <c r="B29" s="7" t="s">
        <v>398</v>
      </c>
      <c r="C29" s="6"/>
      <c r="D29" s="6"/>
      <c r="E29" s="6"/>
      <c r="F29" s="7"/>
    </row>
    <row r="30" spans="1:6" x14ac:dyDescent="0.25">
      <c r="A30" s="6" t="s">
        <v>399</v>
      </c>
      <c r="B30" s="7" t="s">
        <v>400</v>
      </c>
      <c r="C30" s="6"/>
      <c r="D30" s="6"/>
      <c r="E30" s="6"/>
      <c r="F30" s="7"/>
    </row>
    <row r="31" spans="1:6" x14ac:dyDescent="0.25">
      <c r="A31" s="6" t="s">
        <v>401</v>
      </c>
      <c r="B31" s="7" t="s">
        <v>402</v>
      </c>
      <c r="C31" s="6"/>
      <c r="D31" s="6"/>
      <c r="E31" s="6"/>
      <c r="F31" s="7"/>
    </row>
    <row r="32" spans="1:6" x14ac:dyDescent="0.25">
      <c r="A32" s="6" t="s">
        <v>403</v>
      </c>
      <c r="B32" s="7" t="s">
        <v>404</v>
      </c>
      <c r="C32" s="6"/>
      <c r="D32" s="6"/>
      <c r="E32" s="6"/>
      <c r="F32" s="7"/>
    </row>
    <row r="33" spans="1:6" x14ac:dyDescent="0.25">
      <c r="A33" s="6" t="s">
        <v>405</v>
      </c>
      <c r="B33" s="7" t="s">
        <v>406</v>
      </c>
      <c r="C33" s="6"/>
      <c r="D33" s="6"/>
      <c r="E33" s="6"/>
      <c r="F33" s="7"/>
    </row>
    <row r="34" spans="1:6" x14ac:dyDescent="0.25">
      <c r="A34" s="6" t="s">
        <v>407</v>
      </c>
      <c r="B34" s="7" t="s">
        <v>408</v>
      </c>
      <c r="C34" s="6"/>
      <c r="D34" s="6"/>
      <c r="E34" s="6"/>
      <c r="F34" s="7"/>
    </row>
    <row r="35" spans="1:6" x14ac:dyDescent="0.25">
      <c r="A35" s="4" t="s">
        <v>409</v>
      </c>
      <c r="B35" s="5" t="s">
        <v>410</v>
      </c>
      <c r="C35" s="4"/>
      <c r="D35" s="4"/>
      <c r="E35" s="4"/>
      <c r="F35" s="5"/>
    </row>
    <row r="36" spans="1:6" x14ac:dyDescent="0.25">
      <c r="A36" s="6" t="s">
        <v>411</v>
      </c>
      <c r="B36" s="7" t="s">
        <v>412</v>
      </c>
      <c r="C36" s="6"/>
      <c r="D36" s="6"/>
      <c r="E36" s="6"/>
      <c r="F36" s="7"/>
    </row>
    <row r="37" spans="1:6" x14ac:dyDescent="0.25">
      <c r="A37" s="6" t="s">
        <v>413</v>
      </c>
      <c r="B37" s="7" t="s">
        <v>414</v>
      </c>
      <c r="C37" s="6"/>
      <c r="D37" s="6"/>
      <c r="E37" s="6"/>
      <c r="F37" s="7"/>
    </row>
    <row r="38" spans="1:6" x14ac:dyDescent="0.25">
      <c r="A38" s="6" t="s">
        <v>415</v>
      </c>
      <c r="B38" s="7" t="s">
        <v>416</v>
      </c>
      <c r="C38" s="6"/>
      <c r="D38" s="6"/>
      <c r="E38" s="6"/>
      <c r="F38" s="7"/>
    </row>
    <row r="39" spans="1:6" x14ac:dyDescent="0.25">
      <c r="A39" s="6" t="s">
        <v>417</v>
      </c>
      <c r="B39" s="7" t="s">
        <v>418</v>
      </c>
      <c r="C39" s="6"/>
      <c r="D39" s="6"/>
      <c r="E39" s="6"/>
      <c r="F39" s="7"/>
    </row>
    <row r="40" spans="1:6" x14ac:dyDescent="0.25">
      <c r="A40" s="6" t="s">
        <v>419</v>
      </c>
      <c r="B40" s="7" t="s">
        <v>420</v>
      </c>
      <c r="C40" s="6"/>
      <c r="D40" s="6"/>
      <c r="E40" s="6"/>
      <c r="F40" s="7"/>
    </row>
    <row r="41" spans="1:6" x14ac:dyDescent="0.25">
      <c r="A41" s="6" t="s">
        <v>421</v>
      </c>
      <c r="B41" s="7" t="s">
        <v>422</v>
      </c>
      <c r="C41" s="6"/>
      <c r="D41" s="6"/>
      <c r="E41" s="6"/>
      <c r="F41" s="7"/>
    </row>
  </sheetData>
  <mergeCells count="1">
    <mergeCell ref="A1:F1"/>
  </mergeCells>
  <dataValidations count="4">
    <dataValidation type="list" errorTitle="Invalid Entry" error="Please select Yes, No, or Partial" sqref="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xr:uid="{00000000-0002-0000-0500-000000000000}">
      <formula1>"Yes,No,Partial"</formula1>
    </dataValidation>
    <dataValidation type="list" errorTitle="Invalid Entry" error="Please select Critical, High, Medium, Low, or N/A" sqref="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xr:uid="{00000000-0002-0000-0500-000001000000}">
      <formula1>"Critical,High,Medium,Low,N/A"</formula1>
    </dataValidation>
    <dataValidation type="list" allowBlank="1" showDropDown="1" showErrorMessage="1" errorTitle="Invalid Entry" error="Please select Yes, No, or Partial" promptTitle="Applicable?" prompt="Is this process applicable to your operations?" sqref="C3:C41" xr:uid="{00000000-0002-0000-0500-000002000000}">
      <formula1>"Yes,No,Partial"</formula1>
    </dataValidation>
    <dataValidation type="list" allowBlank="1" showDropDown="1" showErrorMessage="1" errorTitle="Invalid Entry" error="Please select Critical, High, Medium, Low, or N/A" promptTitle="Criticality Level" prompt="What is the impact if this process stops for 24 hours?" sqref="D3:D41" xr:uid="{00000000-0002-0000-0500-000003000000}">
      <formula1>"Critical,High,Medium,Low,N/A"</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55"/>
  <sheetViews>
    <sheetView tabSelected="1" topLeftCell="B1" workbookViewId="0">
      <pane ySplit="2" topLeftCell="A3" activePane="bottomLeft" state="frozen"/>
      <selection pane="bottomLeft" activeCell="E2" sqref="E2"/>
    </sheetView>
  </sheetViews>
  <sheetFormatPr defaultRowHeight="15" x14ac:dyDescent="0.25"/>
  <cols>
    <col min="1" max="1" width="12" customWidth="1"/>
    <col min="2" max="2" width="60" customWidth="1"/>
    <col min="3" max="3" width="15" customWidth="1"/>
    <col min="4" max="4" width="18" customWidth="1"/>
    <col min="5" max="5" width="13.7109375" customWidth="1"/>
    <col min="6" max="6" width="66" bestFit="1" customWidth="1"/>
  </cols>
  <sheetData>
    <row r="1" spans="1:6" ht="24.95" customHeight="1" x14ac:dyDescent="0.25">
      <c r="A1" s="46" t="s">
        <v>423</v>
      </c>
      <c r="B1" s="46"/>
      <c r="C1" s="46"/>
      <c r="D1" s="46"/>
      <c r="E1" s="46"/>
      <c r="F1" s="46"/>
    </row>
    <row r="2" spans="1:6" ht="30" customHeight="1" x14ac:dyDescent="0.25">
      <c r="A2" s="3" t="s">
        <v>80</v>
      </c>
      <c r="B2" s="3" t="s">
        <v>81</v>
      </c>
      <c r="C2" s="3" t="s">
        <v>82</v>
      </c>
      <c r="D2" s="3" t="s">
        <v>83</v>
      </c>
      <c r="E2" s="3" t="s">
        <v>85</v>
      </c>
      <c r="F2" s="3" t="s">
        <v>84</v>
      </c>
    </row>
    <row r="3" spans="1:6" x14ac:dyDescent="0.25">
      <c r="A3" s="4" t="s">
        <v>424</v>
      </c>
      <c r="B3" s="5" t="s">
        <v>425</v>
      </c>
      <c r="C3" s="4"/>
      <c r="D3" s="4"/>
      <c r="E3" s="4"/>
      <c r="F3" s="5"/>
    </row>
    <row r="4" spans="1:6" x14ac:dyDescent="0.25">
      <c r="A4" s="6" t="s">
        <v>426</v>
      </c>
      <c r="B4" s="7" t="s">
        <v>427</v>
      </c>
      <c r="C4" s="6"/>
      <c r="D4" s="6"/>
      <c r="E4" s="6"/>
      <c r="F4" s="7"/>
    </row>
    <row r="5" spans="1:6" x14ac:dyDescent="0.25">
      <c r="A5" s="6" t="s">
        <v>428</v>
      </c>
      <c r="B5" s="7" t="s">
        <v>429</v>
      </c>
      <c r="C5" s="6"/>
      <c r="D5" s="6"/>
      <c r="E5" s="6"/>
      <c r="F5" s="7"/>
    </row>
    <row r="6" spans="1:6" x14ac:dyDescent="0.25">
      <c r="A6" s="6" t="s">
        <v>430</v>
      </c>
      <c r="B6" s="7" t="s">
        <v>431</v>
      </c>
      <c r="C6" s="6"/>
      <c r="D6" s="6"/>
      <c r="E6" s="6"/>
      <c r="F6" s="7"/>
    </row>
    <row r="7" spans="1:6" x14ac:dyDescent="0.25">
      <c r="A7" s="6" t="s">
        <v>432</v>
      </c>
      <c r="B7" s="7" t="s">
        <v>433</v>
      </c>
      <c r="C7" s="6"/>
      <c r="D7" s="6"/>
      <c r="E7" s="6"/>
      <c r="F7" s="7"/>
    </row>
    <row r="8" spans="1:6" x14ac:dyDescent="0.25">
      <c r="A8" s="6" t="s">
        <v>434</v>
      </c>
      <c r="B8" s="7" t="s">
        <v>435</v>
      </c>
      <c r="C8" s="6"/>
      <c r="D8" s="6"/>
      <c r="E8" s="6"/>
      <c r="F8" s="7"/>
    </row>
    <row r="9" spans="1:6" x14ac:dyDescent="0.25">
      <c r="A9" s="6" t="s">
        <v>436</v>
      </c>
      <c r="B9" s="7" t="s">
        <v>437</v>
      </c>
      <c r="C9" s="6"/>
      <c r="D9" s="6"/>
      <c r="E9" s="6"/>
      <c r="F9" s="7"/>
    </row>
    <row r="10" spans="1:6" x14ac:dyDescent="0.25">
      <c r="A10" s="6" t="s">
        <v>438</v>
      </c>
      <c r="B10" s="7" t="s">
        <v>439</v>
      </c>
      <c r="C10" s="6"/>
      <c r="D10" s="6"/>
      <c r="E10" s="6"/>
      <c r="F10" s="7"/>
    </row>
    <row r="11" spans="1:6" x14ac:dyDescent="0.25">
      <c r="A11" s="4" t="s">
        <v>440</v>
      </c>
      <c r="B11" s="5" t="s">
        <v>441</v>
      </c>
      <c r="C11" s="4"/>
      <c r="D11" s="4"/>
      <c r="E11" s="4"/>
      <c r="F11" s="5"/>
    </row>
    <row r="12" spans="1:6" x14ac:dyDescent="0.25">
      <c r="A12" s="6" t="s">
        <v>442</v>
      </c>
      <c r="B12" s="7" t="s">
        <v>443</v>
      </c>
      <c r="C12" s="6"/>
      <c r="D12" s="6"/>
      <c r="E12" s="6"/>
      <c r="F12" s="7"/>
    </row>
    <row r="13" spans="1:6" x14ac:dyDescent="0.25">
      <c r="A13" s="6" t="s">
        <v>444</v>
      </c>
      <c r="B13" s="7" t="s">
        <v>445</v>
      </c>
      <c r="C13" s="6"/>
      <c r="D13" s="6"/>
      <c r="E13" s="6"/>
      <c r="F13" s="7"/>
    </row>
    <row r="14" spans="1:6" x14ac:dyDescent="0.25">
      <c r="A14" s="6" t="s">
        <v>446</v>
      </c>
      <c r="B14" s="7" t="s">
        <v>447</v>
      </c>
      <c r="C14" s="6"/>
      <c r="D14" s="6"/>
      <c r="E14" s="6"/>
      <c r="F14" s="7"/>
    </row>
    <row r="15" spans="1:6" x14ac:dyDescent="0.25">
      <c r="A15" s="6" t="s">
        <v>448</v>
      </c>
      <c r="B15" s="7" t="s">
        <v>449</v>
      </c>
      <c r="C15" s="6"/>
      <c r="D15" s="6"/>
      <c r="E15" s="6"/>
      <c r="F15" s="7"/>
    </row>
    <row r="16" spans="1:6" x14ac:dyDescent="0.25">
      <c r="A16" s="6" t="s">
        <v>450</v>
      </c>
      <c r="B16" s="7" t="s">
        <v>451</v>
      </c>
      <c r="C16" s="6"/>
      <c r="D16" s="6"/>
      <c r="E16" s="6"/>
      <c r="F16" s="7"/>
    </row>
    <row r="17" spans="1:6" x14ac:dyDescent="0.25">
      <c r="A17" s="6" t="s">
        <v>452</v>
      </c>
      <c r="B17" s="7" t="s">
        <v>453</v>
      </c>
      <c r="C17" s="6"/>
      <c r="D17" s="6"/>
      <c r="E17" s="6"/>
      <c r="F17" s="7"/>
    </row>
    <row r="18" spans="1:6" x14ac:dyDescent="0.25">
      <c r="A18" s="6" t="s">
        <v>454</v>
      </c>
      <c r="B18" s="7" t="s">
        <v>455</v>
      </c>
      <c r="C18" s="6"/>
      <c r="D18" s="6"/>
      <c r="E18" s="6"/>
      <c r="F18" s="7"/>
    </row>
    <row r="19" spans="1:6" x14ac:dyDescent="0.25">
      <c r="A19" s="4" t="s">
        <v>456</v>
      </c>
      <c r="B19" s="5" t="s">
        <v>457</v>
      </c>
      <c r="C19" s="4"/>
      <c r="D19" s="4"/>
      <c r="E19" s="4"/>
      <c r="F19" s="5"/>
    </row>
    <row r="20" spans="1:6" x14ac:dyDescent="0.25">
      <c r="A20" s="6" t="s">
        <v>458</v>
      </c>
      <c r="B20" s="7" t="s">
        <v>459</v>
      </c>
      <c r="C20" s="6"/>
      <c r="D20" s="6"/>
      <c r="E20" s="6"/>
      <c r="F20" s="7"/>
    </row>
    <row r="21" spans="1:6" x14ac:dyDescent="0.25">
      <c r="A21" s="6" t="s">
        <v>460</v>
      </c>
      <c r="B21" s="7" t="s">
        <v>461</v>
      </c>
      <c r="C21" s="6"/>
      <c r="D21" s="6"/>
      <c r="E21" s="6"/>
      <c r="F21" s="7"/>
    </row>
    <row r="22" spans="1:6" x14ac:dyDescent="0.25">
      <c r="A22" s="6" t="s">
        <v>462</v>
      </c>
      <c r="B22" s="7" t="s">
        <v>463</v>
      </c>
      <c r="C22" s="6"/>
      <c r="D22" s="6"/>
      <c r="E22" s="6"/>
      <c r="F22" s="7"/>
    </row>
    <row r="23" spans="1:6" x14ac:dyDescent="0.25">
      <c r="A23" s="6" t="s">
        <v>464</v>
      </c>
      <c r="B23" s="7" t="s">
        <v>465</v>
      </c>
      <c r="C23" s="6"/>
      <c r="D23" s="6"/>
      <c r="E23" s="6"/>
      <c r="F23" s="7"/>
    </row>
    <row r="24" spans="1:6" x14ac:dyDescent="0.25">
      <c r="A24" s="6" t="s">
        <v>466</v>
      </c>
      <c r="B24" s="7" t="s">
        <v>467</v>
      </c>
      <c r="C24" s="6"/>
      <c r="D24" s="6"/>
      <c r="E24" s="6"/>
      <c r="F24" s="7"/>
    </row>
    <row r="25" spans="1:6" x14ac:dyDescent="0.25">
      <c r="A25" s="6" t="s">
        <v>468</v>
      </c>
      <c r="B25" s="7" t="s">
        <v>469</v>
      </c>
      <c r="C25" s="6"/>
      <c r="D25" s="6"/>
      <c r="E25" s="6"/>
      <c r="F25" s="7"/>
    </row>
    <row r="26" spans="1:6" x14ac:dyDescent="0.25">
      <c r="A26" s="4" t="s">
        <v>470</v>
      </c>
      <c r="B26" s="5" t="s">
        <v>471</v>
      </c>
      <c r="C26" s="4"/>
      <c r="D26" s="4"/>
      <c r="E26" s="4"/>
      <c r="F26" s="5"/>
    </row>
    <row r="27" spans="1:6" x14ac:dyDescent="0.25">
      <c r="A27" s="6" t="s">
        <v>472</v>
      </c>
      <c r="B27" s="7" t="s">
        <v>473</v>
      </c>
      <c r="C27" s="6"/>
      <c r="D27" s="6"/>
      <c r="E27" s="6"/>
      <c r="F27" s="7"/>
    </row>
    <row r="28" spans="1:6" x14ac:dyDescent="0.25">
      <c r="A28" s="6" t="s">
        <v>474</v>
      </c>
      <c r="B28" s="7" t="s">
        <v>475</v>
      </c>
      <c r="C28" s="6"/>
      <c r="D28" s="6"/>
      <c r="E28" s="6"/>
      <c r="F28" s="7"/>
    </row>
    <row r="29" spans="1:6" x14ac:dyDescent="0.25">
      <c r="A29" s="6" t="s">
        <v>476</v>
      </c>
      <c r="B29" s="7" t="s">
        <v>477</v>
      </c>
      <c r="C29" s="6"/>
      <c r="D29" s="6"/>
      <c r="E29" s="6"/>
      <c r="F29" s="7"/>
    </row>
    <row r="30" spans="1:6" x14ac:dyDescent="0.25">
      <c r="A30" s="6" t="s">
        <v>478</v>
      </c>
      <c r="B30" s="7" t="s">
        <v>479</v>
      </c>
      <c r="C30" s="6"/>
      <c r="D30" s="6"/>
      <c r="E30" s="6"/>
      <c r="F30" s="7"/>
    </row>
    <row r="31" spans="1:6" x14ac:dyDescent="0.25">
      <c r="A31" s="6" t="s">
        <v>480</v>
      </c>
      <c r="B31" s="7" t="s">
        <v>481</v>
      </c>
      <c r="C31" s="6"/>
      <c r="D31" s="6"/>
      <c r="E31" s="6"/>
      <c r="F31" s="7"/>
    </row>
    <row r="32" spans="1:6" x14ac:dyDescent="0.25">
      <c r="A32" s="6" t="s">
        <v>482</v>
      </c>
      <c r="B32" s="7" t="s">
        <v>483</v>
      </c>
      <c r="C32" s="6"/>
      <c r="D32" s="6"/>
      <c r="E32" s="6"/>
      <c r="F32" s="7"/>
    </row>
    <row r="33" spans="1:6" x14ac:dyDescent="0.25">
      <c r="A33" s="4" t="s">
        <v>484</v>
      </c>
      <c r="B33" s="5" t="s">
        <v>485</v>
      </c>
      <c r="C33" s="4"/>
      <c r="D33" s="4"/>
      <c r="E33" s="4"/>
      <c r="F33" s="5"/>
    </row>
    <row r="34" spans="1:6" x14ac:dyDescent="0.25">
      <c r="A34" s="6" t="s">
        <v>486</v>
      </c>
      <c r="B34" s="7" t="s">
        <v>487</v>
      </c>
      <c r="C34" s="6"/>
      <c r="D34" s="6"/>
      <c r="E34" s="6"/>
      <c r="F34" s="7"/>
    </row>
    <row r="35" spans="1:6" x14ac:dyDescent="0.25">
      <c r="A35" s="6" t="s">
        <v>488</v>
      </c>
      <c r="B35" s="7" t="s">
        <v>489</v>
      </c>
      <c r="C35" s="6"/>
      <c r="D35" s="6"/>
      <c r="E35" s="6"/>
      <c r="F35" s="7"/>
    </row>
    <row r="36" spans="1:6" x14ac:dyDescent="0.25">
      <c r="A36" s="6" t="s">
        <v>490</v>
      </c>
      <c r="B36" s="7" t="s">
        <v>491</v>
      </c>
      <c r="C36" s="6"/>
      <c r="D36" s="6"/>
      <c r="E36" s="6"/>
      <c r="F36" s="7"/>
    </row>
    <row r="37" spans="1:6" x14ac:dyDescent="0.25">
      <c r="A37" s="6" t="s">
        <v>492</v>
      </c>
      <c r="B37" s="7" t="s">
        <v>493</v>
      </c>
      <c r="C37" s="6"/>
      <c r="D37" s="6"/>
      <c r="E37" s="6"/>
      <c r="F37" s="7"/>
    </row>
    <row r="38" spans="1:6" x14ac:dyDescent="0.25">
      <c r="A38" s="6" t="s">
        <v>494</v>
      </c>
      <c r="B38" s="7" t="s">
        <v>495</v>
      </c>
      <c r="C38" s="6"/>
      <c r="D38" s="6"/>
      <c r="E38" s="6"/>
      <c r="F38" s="7"/>
    </row>
    <row r="39" spans="1:6" x14ac:dyDescent="0.25">
      <c r="A39" s="6" t="s">
        <v>496</v>
      </c>
      <c r="B39" s="7" t="s">
        <v>497</v>
      </c>
      <c r="C39" s="6"/>
      <c r="D39" s="6"/>
      <c r="E39" s="6"/>
      <c r="F39" s="7"/>
    </row>
    <row r="40" spans="1:6" x14ac:dyDescent="0.25">
      <c r="A40" s="6" t="s">
        <v>498</v>
      </c>
      <c r="B40" s="7" t="s">
        <v>499</v>
      </c>
      <c r="C40" s="6"/>
      <c r="D40" s="6"/>
      <c r="E40" s="6"/>
      <c r="F40" s="7"/>
    </row>
    <row r="41" spans="1:6" x14ac:dyDescent="0.25">
      <c r="A41" s="6" t="s">
        <v>500</v>
      </c>
      <c r="B41" s="7" t="s">
        <v>501</v>
      </c>
      <c r="C41" s="6"/>
      <c r="D41" s="6"/>
      <c r="E41" s="6"/>
      <c r="F41" s="7"/>
    </row>
    <row r="42" spans="1:6" x14ac:dyDescent="0.25">
      <c r="A42" s="4" t="s">
        <v>502</v>
      </c>
      <c r="B42" s="5" t="s">
        <v>503</v>
      </c>
      <c r="C42" s="4"/>
      <c r="D42" s="4"/>
      <c r="E42" s="4"/>
      <c r="F42" s="5"/>
    </row>
    <row r="43" spans="1:6" x14ac:dyDescent="0.25">
      <c r="A43" s="6" t="s">
        <v>504</v>
      </c>
      <c r="B43" s="7" t="s">
        <v>505</v>
      </c>
      <c r="C43" s="6"/>
      <c r="D43" s="6"/>
      <c r="E43" s="6"/>
      <c r="F43" s="7"/>
    </row>
    <row r="44" spans="1:6" x14ac:dyDescent="0.25">
      <c r="A44" s="6" t="s">
        <v>506</v>
      </c>
      <c r="B44" s="7" t="s">
        <v>507</v>
      </c>
      <c r="C44" s="6"/>
      <c r="D44" s="6"/>
      <c r="E44" s="6"/>
      <c r="F44" s="7"/>
    </row>
    <row r="45" spans="1:6" x14ac:dyDescent="0.25">
      <c r="A45" s="6" t="s">
        <v>508</v>
      </c>
      <c r="B45" s="7" t="s">
        <v>509</v>
      </c>
      <c r="C45" s="6"/>
      <c r="D45" s="6"/>
      <c r="E45" s="6"/>
      <c r="F45" s="7"/>
    </row>
    <row r="46" spans="1:6" x14ac:dyDescent="0.25">
      <c r="A46" s="6" t="s">
        <v>510</v>
      </c>
      <c r="B46" s="7" t="s">
        <v>511</v>
      </c>
      <c r="C46" s="6"/>
      <c r="D46" s="6"/>
      <c r="E46" s="6"/>
      <c r="F46" s="7"/>
    </row>
    <row r="47" spans="1:6" x14ac:dyDescent="0.25">
      <c r="A47" s="6" t="s">
        <v>512</v>
      </c>
      <c r="B47" s="7" t="s">
        <v>513</v>
      </c>
      <c r="C47" s="6"/>
      <c r="D47" s="6"/>
      <c r="E47" s="6"/>
      <c r="F47" s="7"/>
    </row>
    <row r="48" spans="1:6" x14ac:dyDescent="0.25">
      <c r="A48" s="6" t="s">
        <v>514</v>
      </c>
      <c r="B48" s="7" t="s">
        <v>515</v>
      </c>
      <c r="C48" s="6"/>
      <c r="D48" s="6"/>
      <c r="E48" s="6"/>
      <c r="F48" s="7"/>
    </row>
    <row r="49" spans="1:6" x14ac:dyDescent="0.25">
      <c r="A49" s="4" t="s">
        <v>516</v>
      </c>
      <c r="B49" s="5" t="s">
        <v>517</v>
      </c>
      <c r="C49" s="4"/>
      <c r="D49" s="4"/>
      <c r="E49" s="4"/>
      <c r="F49" s="5"/>
    </row>
    <row r="50" spans="1:6" x14ac:dyDescent="0.25">
      <c r="A50" s="6" t="s">
        <v>518</v>
      </c>
      <c r="B50" s="7" t="s">
        <v>519</v>
      </c>
      <c r="C50" s="6"/>
      <c r="D50" s="6"/>
      <c r="E50" s="6"/>
      <c r="F50" s="7"/>
    </row>
    <row r="51" spans="1:6" x14ac:dyDescent="0.25">
      <c r="A51" s="6" t="s">
        <v>520</v>
      </c>
      <c r="B51" s="7" t="s">
        <v>521</v>
      </c>
      <c r="C51" s="6"/>
      <c r="D51" s="6"/>
      <c r="E51" s="6"/>
      <c r="F51" s="7"/>
    </row>
    <row r="52" spans="1:6" x14ac:dyDescent="0.25">
      <c r="A52" s="6" t="s">
        <v>522</v>
      </c>
      <c r="B52" s="7" t="s">
        <v>523</v>
      </c>
      <c r="C52" s="6"/>
      <c r="D52" s="6"/>
      <c r="E52" s="6"/>
      <c r="F52" s="7"/>
    </row>
    <row r="53" spans="1:6" x14ac:dyDescent="0.25">
      <c r="A53" s="6" t="s">
        <v>524</v>
      </c>
      <c r="B53" s="7" t="s">
        <v>525</v>
      </c>
      <c r="C53" s="6"/>
      <c r="D53" s="6"/>
      <c r="E53" s="6"/>
      <c r="F53" s="7"/>
    </row>
    <row r="54" spans="1:6" x14ac:dyDescent="0.25">
      <c r="A54" s="6" t="s">
        <v>526</v>
      </c>
      <c r="B54" s="7" t="s">
        <v>527</v>
      </c>
      <c r="C54" s="6"/>
      <c r="D54" s="6"/>
      <c r="E54" s="6"/>
      <c r="F54" s="7"/>
    </row>
    <row r="55" spans="1:6" x14ac:dyDescent="0.25">
      <c r="A55" s="6" t="s">
        <v>528</v>
      </c>
      <c r="B55" s="7" t="s">
        <v>529</v>
      </c>
      <c r="C55" s="6"/>
      <c r="D55" s="6"/>
      <c r="E55" s="6"/>
      <c r="F55" s="7"/>
    </row>
  </sheetData>
  <mergeCells count="1">
    <mergeCell ref="A1:F1"/>
  </mergeCells>
  <dataValidations count="4">
    <dataValidation type="list" errorTitle="Invalid Entry" error="Please select Yes, No, or Partial" sqref="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xr:uid="{00000000-0002-0000-0600-000000000000}">
      <formula1>"Yes,No,Partial"</formula1>
    </dataValidation>
    <dataValidation type="list" errorTitle="Invalid Entry" error="Please select Critical, High, Medium, Low, or N/A" sqref="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xr:uid="{00000000-0002-0000-0600-000001000000}">
      <formula1>"Critical,High,Medium,Low,N/A"</formula1>
    </dataValidation>
    <dataValidation type="list" allowBlank="1" showDropDown="1" showErrorMessage="1" errorTitle="Invalid Entry" error="Please select Yes, No, or Partial" promptTitle="Applicable?" prompt="Is this process applicable to your operations?" sqref="C3:C55" xr:uid="{00000000-0002-0000-0600-000002000000}">
      <formula1>"Yes,No,Partial"</formula1>
    </dataValidation>
    <dataValidation type="list" allowBlank="1" showDropDown="1" showErrorMessage="1" errorTitle="Invalid Entry" error="Please select Critical, High, Medium, Low, or N/A" promptTitle="Criticality Level" prompt="What is the impact if this process stops for 24 hours?" sqref="D3:D55" xr:uid="{00000000-0002-0000-0600-000003000000}">
      <formula1>"Critical,High,Medium,Low,N/A"</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6"/>
  <sheetViews>
    <sheetView workbookViewId="0">
      <selection activeCell="D17" sqref="D17"/>
    </sheetView>
  </sheetViews>
  <sheetFormatPr defaultRowHeight="15" x14ac:dyDescent="0.25"/>
  <cols>
    <col min="1" max="1" width="35" customWidth="1"/>
    <col min="2" max="2" width="25" customWidth="1"/>
    <col min="3" max="3" width="22" customWidth="1"/>
    <col min="4" max="4" width="30" customWidth="1"/>
  </cols>
  <sheetData>
    <row r="1" spans="1:4" ht="18.75" customHeight="1" x14ac:dyDescent="0.3">
      <c r="A1" s="45" t="s">
        <v>530</v>
      </c>
      <c r="B1" s="44"/>
      <c r="C1" s="44"/>
      <c r="D1" s="44"/>
    </row>
    <row r="3" spans="1:4" x14ac:dyDescent="0.25">
      <c r="A3" s="3" t="s">
        <v>531</v>
      </c>
      <c r="B3" s="3" t="s">
        <v>532</v>
      </c>
      <c r="C3" s="3" t="s">
        <v>533</v>
      </c>
      <c r="D3" s="3" t="s">
        <v>534</v>
      </c>
    </row>
    <row r="4" spans="1:4" x14ac:dyDescent="0.25">
      <c r="A4" t="s">
        <v>535</v>
      </c>
      <c r="B4" s="9">
        <f>COUNTIFS('SCOPE A'!C:C,"Yes")+COUNTIFS('SCOPE A'!C:C,"No")+COUNTIFS('SCOPE A'!C:C,"Partial")</f>
        <v>0</v>
      </c>
      <c r="C4" s="9">
        <f>COUNTIF('SCOPE A'!D:D,"High")</f>
        <v>0</v>
      </c>
      <c r="D4" s="10">
        <f>SUMIF('SCOPE A'!D:D,"Critical",'SCOPE A'!E:E)</f>
        <v>0</v>
      </c>
    </row>
    <row r="5" spans="1:4" x14ac:dyDescent="0.25">
      <c r="A5" t="s">
        <v>536</v>
      </c>
      <c r="B5" s="9">
        <f>COUNTIFS('SCOPE B'!C:C,"Yes")+COUNTIFS('SCOPE B'!C:C,"No")+COUNTIFS('SCOPE B'!C:C,"Partial")</f>
        <v>0</v>
      </c>
      <c r="C5" s="9">
        <f>COUNTIF('SCOPE B'!D:D,"High")</f>
        <v>0</v>
      </c>
      <c r="D5" s="10">
        <f>SUMIF('SCOPE B'!D:D,"Critical",'SCOPE B'!E:E)</f>
        <v>0</v>
      </c>
    </row>
    <row r="6" spans="1:4" x14ac:dyDescent="0.25">
      <c r="A6" t="s">
        <v>537</v>
      </c>
      <c r="B6" s="9">
        <f>COUNTIFS('SCOPE C'!C:C,"Yes")+COUNTIFS('SCOPE C'!C:C,"No")+COUNTIFS('SCOPE C'!C:C,"Partial")</f>
        <v>0</v>
      </c>
      <c r="C6" s="9">
        <f>COUNTIF('SCOPE C'!D:D,"High")</f>
        <v>0</v>
      </c>
      <c r="D6" s="10">
        <f>SUMIF('SCOPE C'!D:D,"Critical",'SCOPE C'!E:E)</f>
        <v>0</v>
      </c>
    </row>
    <row r="7" spans="1:4" x14ac:dyDescent="0.25">
      <c r="A7" t="s">
        <v>538</v>
      </c>
      <c r="B7" s="9">
        <f>COUNTIFS('SCOPE D'!C:C,"Yes")+COUNTIFS('SCOPE D'!C:C,"No")+COUNTIFS('SCOPE D'!C:C,"Partial")</f>
        <v>0</v>
      </c>
      <c r="C7" s="9">
        <f>COUNTIF('SCOPE D'!D:D,"High")</f>
        <v>0</v>
      </c>
      <c r="D7" s="10" t="e">
        <f>SUMIF('SCOPE D'!D:D,"Critical",'SCOPE D'!#REF!)</f>
        <v>#REF!</v>
      </c>
    </row>
    <row r="8" spans="1:4" x14ac:dyDescent="0.25">
      <c r="B8" s="9"/>
      <c r="C8" s="9"/>
      <c r="D8" s="10"/>
    </row>
    <row r="9" spans="1:4" x14ac:dyDescent="0.25">
      <c r="A9" s="8" t="s">
        <v>539</v>
      </c>
      <c r="B9" s="11">
        <f>SUM(B4:B7)</f>
        <v>0</v>
      </c>
      <c r="C9" s="11">
        <f>SUM(C4:C7)</f>
        <v>0</v>
      </c>
      <c r="D9" s="12" t="e">
        <f>SUM(D4:D7)</f>
        <v>#REF!</v>
      </c>
    </row>
    <row r="12" spans="1:4" ht="15.75" customHeight="1" x14ac:dyDescent="0.25">
      <c r="A12" s="2" t="s">
        <v>540</v>
      </c>
    </row>
    <row r="14" spans="1:4" x14ac:dyDescent="0.25">
      <c r="A14" t="s">
        <v>541</v>
      </c>
    </row>
    <row r="15" spans="1:4" x14ac:dyDescent="0.25">
      <c r="A15" t="s">
        <v>542</v>
      </c>
    </row>
    <row r="16" spans="1:4" x14ac:dyDescent="0.25">
      <c r="A16" t="s">
        <v>543</v>
      </c>
    </row>
    <row r="17" spans="1:1" x14ac:dyDescent="0.25">
      <c r="A17" t="s">
        <v>544</v>
      </c>
    </row>
    <row r="18" spans="1:1" x14ac:dyDescent="0.25">
      <c r="A18" t="s">
        <v>545</v>
      </c>
    </row>
    <row r="19" spans="1:1" x14ac:dyDescent="0.25">
      <c r="A19" t="s">
        <v>546</v>
      </c>
    </row>
    <row r="20" spans="1:1" x14ac:dyDescent="0.25">
      <c r="A20" t="s">
        <v>547</v>
      </c>
    </row>
    <row r="22" spans="1:1" ht="15.75" customHeight="1" x14ac:dyDescent="0.25">
      <c r="A22" s="2" t="s">
        <v>548</v>
      </c>
    </row>
    <row r="24" spans="1:1" x14ac:dyDescent="0.25">
      <c r="A24" t="s">
        <v>549</v>
      </c>
    </row>
    <row r="25" spans="1:1" x14ac:dyDescent="0.25">
      <c r="A25" t="s">
        <v>550</v>
      </c>
    </row>
    <row r="26" spans="1:1" x14ac:dyDescent="0.25">
      <c r="A26" t="s">
        <v>551</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Frontpage</vt:lpstr>
      <vt:lpstr>Instructions</vt:lpstr>
      <vt:lpstr>Company Profile</vt:lpstr>
      <vt:lpstr>SCOPE A</vt:lpstr>
      <vt:lpstr>SCOPE B</vt:lpstr>
      <vt:lpstr>SCOPE C</vt:lpstr>
      <vt:lpstr>SCOPE D</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Antonio Iglesias</cp:lastModifiedBy>
  <dcterms:created xsi:type="dcterms:W3CDTF">2026-02-17T15:48:47Z</dcterms:created>
  <dcterms:modified xsi:type="dcterms:W3CDTF">2026-02-19T13:19:06Z</dcterms:modified>
</cp:coreProperties>
</file>