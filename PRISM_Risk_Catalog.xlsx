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Catalog" sheetId="1" state="visible" r:id="rId3"/>
    <sheet name="Summary by Family" sheetId="2" state="visible" r:id="rId4"/>
  </sheets>
  <definedNames>
    <definedName function="false" hidden="true" localSheetId="0" name="_xlnm._FilterDatabase" vbProcedure="false">'Risk Catalog'!$A$4:$H$178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<sst xmlns="http://schemas.openxmlformats.org/spreadsheetml/2006/main" count="1319" uniqueCount="652">
  <si>
    <t xml:space="preserve">PRISM Brain — Risk Event Catalog (174 Events)</t>
  </si>
  <si>
    <t xml:space="preserve">4 Domains · 28 Risk Families · Base rates represent annual probability before client-specific adjustments</t>
  </si>
  <si>
    <t xml:space="preserve">Event ID</t>
  </si>
  <si>
    <t xml:space="preserve">Domain</t>
  </si>
  <si>
    <t xml:space="preserve">Family</t>
  </si>
  <si>
    <t xml:space="preserve">Risk Event</t>
  </si>
  <si>
    <t xml:space="preserve">Description</t>
  </si>
  <si>
    <t xml:space="preserve">Base Rate</t>
  </si>
  <si>
    <t xml:space="preserve">Confidence</t>
  </si>
  <si>
    <t xml:space="preserve">Rationale</t>
  </si>
  <si>
    <t xml:space="preserve">DIG-CIC-001</t>
  </si>
  <si>
    <t xml:space="preserve">Digital</t>
  </si>
  <si>
    <t xml:space="preserve">CRITICAL INFRASTRUCTURE CYBERATTACKS</t>
  </si>
  <si>
    <t xml:space="preserve">Ransomware attack on hospital/healthcare system</t>
  </si>
  <si>
    <t xml:space="preserve">Ransomware attack encrypting healthcare IT systems (EHR, patient records, scheduling) causing patient care disruption ≥24 hours</t>
  </si>
  <si>
    <t xml:space="preserve">High (Government + Industry Data)</t>
  </si>
  <si>
    <t xml:space="preserve">Industry/historical base rate (8.0%). 8.0% universal probability</t>
  </si>
  <si>
    <t xml:space="preserve">DIG-CIC-002</t>
  </si>
  <si>
    <t xml:space="preserve">SCADA/ICS system compromise (manufacturing)</t>
  </si>
  <si>
    <t xml:space="preserve">Unauthorized access to industrial control systems (SCADA, DCS, PLC) in manufacturing, causing production disruption, safety incident, or data theft</t>
  </si>
  <si>
    <t xml:space="preserve">Industry/historical base rate (5.0%). 5.0% universal probability</t>
  </si>
  <si>
    <t xml:space="preserve">DIG-CIC-003</t>
  </si>
  <si>
    <t xml:space="preserve">Energy grid/utility cyberattack</t>
  </si>
  <si>
    <t xml:space="preserve">Cyber-attack on electrical grid infrastructure, causing power outages, grid instability, or control system compromise affecting ≥10,000 customers</t>
  </si>
  <si>
    <t xml:space="preserve">Industry/historical base rate (3.0%). 3.0% universal probability</t>
  </si>
  <si>
    <t xml:space="preserve">DIG-CIC-004</t>
  </si>
  <si>
    <t xml:space="preserve">Water/wastewater system hack</t>
  </si>
  <si>
    <t xml:space="preserve">Cyber compromise of water treatment, distribution, or wastewater control systems causing service disruption, contamination risk, or environmental incident</t>
  </si>
  <si>
    <t xml:space="preserve">Industry/historical base rate (4.0%). 4.0% universal probability</t>
  </si>
  <si>
    <t xml:space="preserve">DIG-CIC-005</t>
  </si>
  <si>
    <t xml:space="preserve">Transportation system cyberattack</t>
  </si>
  <si>
    <t xml:space="preserve">Cyber incident affecting rail signaling, traffic management, airport operations, or mass transit control systems, causing safety incidents or &gt;4-hour service disruption</t>
  </si>
  <si>
    <t xml:space="preserve">DIG-CIC-006</t>
  </si>
  <si>
    <t xml:space="preserve">Nuclear/chemical facility cyber intrusion</t>
  </si>
  <si>
    <t xml:space="preserve">Unauthorized cyber access to nuclear power plant, chemical manufacturing, or other high-hazard facility control systems, even if no physical impact occurred</t>
  </si>
  <si>
    <t xml:space="preserve">Industry/historical base rate (2.0%). 2.0% universal probability</t>
  </si>
  <si>
    <t xml:space="preserve">DIG-RDE-001</t>
  </si>
  <si>
    <t xml:space="preserve">RANSOMWARE, DATA BREACHES &amp; EXFILTRATION</t>
  </si>
  <si>
    <t xml:space="preserve">ERP/business system ransomware</t>
  </si>
  <si>
    <t xml:space="preserve">Ransomware attack encrypting core business systems (ERP, CRM, financial systems) causing operational disruption ≥24 hours</t>
  </si>
  <si>
    <t xml:space="preserve">High (Multiple Independent Sources, 10,000+ Incidents/Year)</t>
  </si>
  <si>
    <t xml:space="preserve">Industry/historical base rate (12.0%). 12.0% universal probability</t>
  </si>
  <si>
    <t xml:space="preserve">DIG-RDE-002</t>
  </si>
  <si>
    <t xml:space="preserve">Database encryption or destruction</t>
  </si>
  <si>
    <t xml:space="preserve">Direct attack on databases (SQL, NoSQL, backups) causing data loss, corruption, or encryption requiring restoration from backups</t>
  </si>
  <si>
    <t xml:space="preserve">DIG-RDE-003</t>
  </si>
  <si>
    <t xml:space="preserve">Double extortion (encryption + data leak threat)</t>
  </si>
  <si>
    <t xml:space="preserve">Ransomware attack combining encryption with data exfiltration and threat to publicly leak sensitive data unless ransom paid</t>
  </si>
  <si>
    <t xml:space="preserve">Industry/historical base rate (10.0%). 10.0% universal probability</t>
  </si>
  <si>
    <t xml:space="preserve">DIG-RDE-004</t>
  </si>
  <si>
    <t xml:space="preserve">Customer personal data breach (GDPR event)</t>
  </si>
  <si>
    <t xml:space="preserve">Unauthorized access or theft of customer personal data (names, emails, addresses, payment info) triggering GDPR Article 33/34 notification requirements</t>
  </si>
  <si>
    <t xml:space="preserve">Industry/historical base rate (15.0%). 15.0% universal probability</t>
  </si>
  <si>
    <t xml:space="preserve">DIG-RDE-005</t>
  </si>
  <si>
    <t xml:space="preserve">Intellectual property theft (trade secrets, R&amp;D)</t>
  </si>
  <si>
    <t xml:space="preserve">Cyber espionage targeting proprietary information: product designs, formulas, source code, R&amp;D data, manufacturing processes</t>
  </si>
  <si>
    <t xml:space="preserve">Industry/historical base rate (7.0%). 7.0% universal probability</t>
  </si>
  <si>
    <t xml:space="preserve">DIG-RDE-006</t>
  </si>
  <si>
    <t xml:space="preserve">Financial data breach (payment card, banking)</t>
  </si>
  <si>
    <t xml:space="preserve">Theft of payment card data, bank account information, or financial credentials through cyber-attack on payment systems or databases</t>
  </si>
  <si>
    <t xml:space="preserve">Industry/historical base rate (6.0%). 6.0% universal probability</t>
  </si>
  <si>
    <t xml:space="preserve">DIG-RDE-007</t>
  </si>
  <si>
    <t xml:space="preserve">Employee credential theft (Active Directory compromise)</t>
  </si>
  <si>
    <t xml:space="preserve">Theft of employee login credentials, Active Directory compromise, or domain admin account takeover enabling lateral movement</t>
  </si>
  <si>
    <t xml:space="preserve">Industry/historical base rate (18.0%). 18.0% universal probability</t>
  </si>
  <si>
    <t xml:space="preserve">DIG-RDE-008</t>
  </si>
  <si>
    <t xml:space="preserve">Supply chain partner data exposure</t>
  </si>
  <si>
    <t xml:space="preserve">Data breach or security incident at third-party vendor/partner exposing company data stored in partner systems</t>
  </si>
  <si>
    <t xml:space="preserve">Industry/historical base rate (9.0%). 9.0% universal probability</t>
  </si>
  <si>
    <t xml:space="preserve">DIG-SCC-001</t>
  </si>
  <si>
    <t xml:space="preserve">SUPPLY CHAIN CYBERATTACKS</t>
  </si>
  <si>
    <t xml:space="preserve">Third-party software supply chain attack (e.g., SolarWinds)</t>
  </si>
  <si>
    <t xml:space="preserve">Malicious code inserted into legitimate software updates or packages, distributed to customers through trusted software supply chain</t>
  </si>
  <si>
    <t xml:space="preserve">High (Government Advisories, Industry Tracking)</t>
  </si>
  <si>
    <t xml:space="preserve">DIG-SCC-002</t>
  </si>
  <si>
    <t xml:space="preserve">Managed service provider (MSP) compromise</t>
  </si>
  <si>
    <t xml:space="preserve">Cyber-attack on managed IT service provider, using their privileged access to customer systems to deploy malware or ransomware</t>
  </si>
  <si>
    <t xml:space="preserve">DIG-SCC-003</t>
  </si>
  <si>
    <t xml:space="preserve">Open-source library/dependency compromise (e.g., Log4j)</t>
  </si>
  <si>
    <t xml:space="preserve">Critical vulnerability or malicious code in open-source software library used by company applications (direct or transitive dependency)</t>
  </si>
  <si>
    <t xml:space="preserve">DIG-SCC-004</t>
  </si>
  <si>
    <t xml:space="preserve">Cloud service provider breach (affecting customers)</t>
  </si>
  <si>
    <t xml:space="preserve">Security breach at cloud/SaaS provider exposing customer data or enabling unauthorized access to customer environments</t>
  </si>
  <si>
    <t xml:space="preserve">DIG-SCC-005</t>
  </si>
  <si>
    <t xml:space="preserve">SaaS application compromise (e.g., Okta, MOVEit)</t>
  </si>
  <si>
    <t xml:space="preserve">Critical SaaS application vulnerability or breach enabling unauthorized access to customer data or enabling downstream attacks</t>
  </si>
  <si>
    <t xml:space="preserve">DIG-FSD-001</t>
  </si>
  <si>
    <t xml:space="preserve">FRAUD, SOCIAL ENGINEERING &amp; DENIAL-OF-SERVICE</t>
  </si>
  <si>
    <t xml:space="preserve">Business email compromise (BEC/CEO fraud)</t>
  </si>
  <si>
    <t xml:space="preserve">Social engineering attack impersonating executives or vendors to authorize fraudulent wire transfers or sensitive data disclosure</t>
  </si>
  <si>
    <t xml:space="preserve">High (Government Statistics, Multiple Tracking Sources)</t>
  </si>
  <si>
    <t xml:space="preserve">DIG-FSD-002</t>
  </si>
  <si>
    <t xml:space="preserve">Wire transfer fraud / Invoice/vendor fraud</t>
  </si>
  <si>
    <t xml:space="preserve">Fraudulent modification of vendor payment instructions or fake invoices leading to misdirected payments</t>
  </si>
  <si>
    <t xml:space="preserve">Industry/historical base rate (14.0%). 14.0% universal probability</t>
  </si>
  <si>
    <t xml:space="preserve">DIG-FSD-003</t>
  </si>
  <si>
    <t xml:space="preserve">Credential phishing (multi-factor authentication bypass)</t>
  </si>
  <si>
    <t xml:space="preserve">Sophisticated phishing attack defeating MFA through adversary-in-the-middle (AitM), push notification fatigue, or MFA interception</t>
  </si>
  <si>
    <t xml:space="preserve">Industry/historical base rate (22.0%). 22.0% universal probability</t>
  </si>
  <si>
    <t xml:space="preserve">DIG-FSD-004</t>
  </si>
  <si>
    <t xml:space="preserve">Deep fake voice/video fraud</t>
  </si>
  <si>
    <t xml:space="preserve">Use of AI-generated voice or video (deep fake) to impersonate executives or trusted individuals to authorize transactions or disclose information</t>
  </si>
  <si>
    <t xml:space="preserve">DIG-FSD-005</t>
  </si>
  <si>
    <t xml:space="preserve">Volumetric DDoS attack (&gt;100 Gbps causing material disruption)</t>
  </si>
  <si>
    <t xml:space="preserve">Large-scale distributed denial-of-service attack exceeding 100 Gbps or 1M packets/second, causing website/service unavailability &gt;4 hours</t>
  </si>
  <si>
    <t xml:space="preserve">DIG-FSD-006</t>
  </si>
  <si>
    <t xml:space="preserve">Application-layer / Ransom DDoS (extortion-driven)</t>
  </si>
  <si>
    <t xml:space="preserve">DDoS attack combined with extortion demand (typically 1-5 Bitcoin ransom); often application-layer attacks targeting specific services</t>
  </si>
  <si>
    <t xml:space="preserve">DIG-FSD-007</t>
  </si>
  <si>
    <t xml:space="preserve">DNS infrastructure / BGP hijacking attack</t>
  </si>
  <si>
    <t xml:space="preserve">Attack on DNS infrastructure or BGP route hijacking redirecting traffic to attacker-controlled servers or causing service unavailability</t>
  </si>
  <si>
    <t xml:space="preserve">DIG-CLS-001</t>
  </si>
  <si>
    <t xml:space="preserve">CLOUD &amp; PLATFORM SOVEREIGNTY</t>
  </si>
  <si>
    <t xml:space="preserve">Hyperscaler vendor lock-in / Migration barriers (proprietary services, egress costs)</t>
  </si>
  <si>
    <t xml:space="preserve">Technical or economic inability to migrate workloads from current cloud provider due to proprietary services, egress costs, or architectural dependencies</t>
  </si>
  <si>
    <t xml:space="preserve">Medium-High (Industry Surveys, Public Incident Data)</t>
  </si>
  <si>
    <t xml:space="preserve">Industry/historical base rate (25.0%). 25.0% universal probability</t>
  </si>
  <si>
    <t xml:space="preserve">DIG-CLS-002</t>
  </si>
  <si>
    <t xml:space="preserve">Cloud service provider outage / Service degradation (≥4hr, multi-region)</t>
  </si>
  <si>
    <t xml:space="preserve">Major cloud platform outage affecting multiple regions or availability zones, causing service unavailability ≥4 hours</t>
  </si>
  <si>
    <t xml:space="preserve">DIG-CLS-003</t>
  </si>
  <si>
    <t xml:space="preserve">Cloud pricing shock / Cost escalation (&gt;30% YoY increase)</t>
  </si>
  <si>
    <t xml:space="preserve">Unexpected cloud cost increases &gt;30% year-over-year due to pricing changes, usage growth, or cloud "bill shock" from uncontrolled consumption</t>
  </si>
  <si>
    <t xml:space="preserve">Industry/historical base rate (20.0%). 20.0% universal probability</t>
  </si>
  <si>
    <t xml:space="preserve">DIG-CLS-004</t>
  </si>
  <si>
    <t xml:space="preserve">Data residency / Sovereignty compliance failure (GDPR, Schrems)</t>
  </si>
  <si>
    <t xml:space="preserve">Discovery that customer personal data is stored or processed in jurisdictions violating GDPR, Schrems II rulings, or other data sovereignty requirements</t>
  </si>
  <si>
    <t xml:space="preserve">DIG-CLS-005</t>
  </si>
  <si>
    <t xml:space="preserve">Platform dependency / API deprecation (Maps, payment, critical APIs)</t>
  </si>
  <si>
    <t xml:space="preserve">Critical third-party platform APIs deprecated, pricing changed dramatically, or access restricted, requiring application rearchitecture</t>
  </si>
  <si>
    <t xml:space="preserve">DIG-CLS-006</t>
  </si>
  <si>
    <t xml:space="preserve">National cloud / Data center capacity shortage</t>
  </si>
  <si>
    <t xml:space="preserve">Insufficient cloud or data center capacity in preferred jurisdiction (e.g., EU, specific country) forcing suboptimal deployment choices</t>
  </si>
  <si>
    <t xml:space="preserve">DIG-HWS-001</t>
  </si>
  <si>
    <t xml:space="preserve">HARDWARE, INDUSTRIAL EQUIPMENT &amp; SEMICONDUCTOR SOVEREIGNTY</t>
  </si>
  <si>
    <t xml:space="preserve">Advanced semiconductor access restriction (&lt;7nm chips, AI accelerators)</t>
  </si>
  <si>
    <t xml:space="preserve">Export controls, allocation constraints, or geopolitical restrictions limiting access to advanced semiconductors (&lt;7nm process nodes, AI GPUs, HBM memory)</t>
  </si>
  <si>
    <t xml:space="preserve">Medium-High (Industry Association Data, Government Reports)</t>
  </si>
  <si>
    <t xml:space="preserve">DIG-HWS-002</t>
  </si>
  <si>
    <t xml:space="preserve">Semiconductor supply chain disruption (fab fire, earthquake, geopolitics)</t>
  </si>
  <si>
    <t xml:space="preserve">Major disruption to semiconductor manufacturing from fab accidents, natural disasters, or geopolitical events affecting multiple industries</t>
  </si>
  <si>
    <t xml:space="preserve">DIG-HWS-003</t>
  </si>
  <si>
    <t xml:space="preserve">Legacy chip / Mature node shortage (automotive MCUs, industrial)</t>
  </si>
  <si>
    <t xml:space="preserve">Shortage of mature-node semiconductors (&gt;28nm) used in automotive, industrial, and IoT applications, despite ample advanced-chip capacity</t>
  </si>
  <si>
    <t xml:space="preserve">DIG-HWS-004</t>
  </si>
  <si>
    <t xml:space="preserve">Hardware supply chain attack / Compromised components</t>
  </si>
  <si>
    <t xml:space="preserve">Discovery of malicious hardware (chips, firmware, components) in supply chain, requiring product recalls and supply chain forensics</t>
  </si>
  <si>
    <t xml:space="preserve">DIG-HWS-005</t>
  </si>
  <si>
    <t xml:space="preserve">Critical equipment / Manufacturing tools shortage (SME, machine tools, robots, test equipment)</t>
  </si>
  <si>
    <t xml:space="preserve">Shortage or extended lead times (&gt;12 months) for critical manufacturing equipment: semiconductor manufacturing equipment (SME), CNC machine tools, industrial robots, test equipment</t>
  </si>
  <si>
    <t xml:space="preserve">DIG-HWS-006</t>
  </si>
  <si>
    <t xml:space="preserve">Industrial automation hardware dependency / Vendor lock-in (PLCs, SCADA, DCS, HMI, MES)</t>
  </si>
  <si>
    <t xml:space="preserve">Proprietary industrial control system hardware creating migration barriers, limiting vendor competition, and imposing long-term costs/constraints</t>
  </si>
  <si>
    <t xml:space="preserve">DIG-HWS-007</t>
  </si>
  <si>
    <t xml:space="preserve">Machine tool / Critical manufacturing equipment access restriction</t>
  </si>
  <si>
    <t xml:space="preserve">Export controls, geopolitical restrictions, or supply allocation limiting access to advanced machine tools (5-axis CNC, EDM, precision grinding, additive manufacturing)</t>
  </si>
  <si>
    <t xml:space="preserve">DIG-SWS-001</t>
  </si>
  <si>
    <t xml:space="preserve">SOFTWARE &amp; AI SOVEREIGNTY</t>
  </si>
  <si>
    <t xml:space="preserve">Critical software license termination / Access restriction (ERP, CAD/EDA, OS)</t>
  </si>
  <si>
    <t xml:space="preserve">Loss of access to critical business software due to license termination, sanctions, vendor bankruptcy, or pricing prohibiting continued use</t>
  </si>
  <si>
    <t xml:space="preserve">Medium-High (Industry Surveys, Public Incidents)</t>
  </si>
  <si>
    <t xml:space="preserve">DIG-SWS-002</t>
  </si>
  <si>
    <t xml:space="preserve">Open-source software maintainer risk / Supply chain failure (Log4j scenario)</t>
  </si>
  <si>
    <t xml:space="preserve">Critical open-source software project with single/few maintainers faces abandonment, burnout, compromise, or inability to address critical vulnerabilities</t>
  </si>
  <si>
    <t xml:space="preserve">DIG-SWS-003</t>
  </si>
  <si>
    <t xml:space="preserve">AI/ML platform dependency / Model access restriction (OpenAI, NVIDIA CUDA)</t>
  </si>
  <si>
    <t xml:space="preserve">Dependency on proprietary AI/ML platforms (OpenAI API, Google Vertex AI, NVIDIA CUDA) facing pricing changes, access restrictions, or service disruptions</t>
  </si>
  <si>
    <t xml:space="preserve">DIG-SWS-004</t>
  </si>
  <si>
    <t xml:space="preserve">AI model poisoning / Adversarial attack</t>
  </si>
  <si>
    <t xml:space="preserve">Compromised training data or adversarial inputs causing AI/ML model to produce incorrect, biased, or malicious outputs</t>
  </si>
  <si>
    <t xml:space="preserve">DIG-SWS-005</t>
  </si>
  <si>
    <t xml:space="preserve">Critical software supply chain vulnerability (zero-day, widespread impact)</t>
  </si>
  <si>
    <t xml:space="preserve">Zero-day vulnerability in widely-used software framework or library affecting thousands of applications (analogous to Log4j but proprietary software)</t>
  </si>
  <si>
    <t xml:space="preserve">DIG-SWS-006</t>
  </si>
  <si>
    <t xml:space="preserve">Emerging technology access restriction (quantum, 5G, advanced robotics)</t>
  </si>
  <si>
    <t xml:space="preserve">Export controls or strategic technology restrictions limiting access to emerging technologies critical for future competitiveness</t>
  </si>
  <si>
    <t xml:space="preserve">DIG-SWS-007</t>
  </si>
  <si>
    <t xml:space="preserve">CAD/CAM/PLM software dependency / Vendor lock-in (industrial design software)</t>
  </si>
  <si>
    <t xml:space="preserve">Proprietary industrial design software (CAD/CAM/PLM) creating migration barriers due to file format lock-in, training costs, and ecosystem dependencies</t>
  </si>
  <si>
    <t xml:space="preserve">DIG-SWS-008</t>
  </si>
  <si>
    <t xml:space="preserve">MES/SCADA/DCS software dependency (industrial control software lock-in)</t>
  </si>
  <si>
    <t xml:space="preserve">Manufacturing Execution System (MES) and SCADA/DCS control software lock-in limiting factory digitalization and imposing long-term costs</t>
  </si>
  <si>
    <t xml:space="preserve">OPS-MAR-001</t>
  </si>
  <si>
    <t xml:space="preserve">Operational</t>
  </si>
  <si>
    <t xml:space="preserve">Port &amp; Maritime Logistics</t>
  </si>
  <si>
    <t xml:space="preserve">Major Port Congestion (&gt;2 Week Delays)</t>
  </si>
  <si>
    <t xml:space="preserve">Major Port Congestion (&gt;2 Week Delays) affecting EU operations and supply chains.</t>
  </si>
  <si>
    <t xml:space="preserve">High</t>
  </si>
  <si>
    <t xml:space="preserve">OPS-MAR-002</t>
  </si>
  <si>
    <t xml:space="preserve">Canal/Strait Closure (Suez, Panama, Malacca)</t>
  </si>
  <si>
    <t xml:space="preserve">Canal/Strait Closure (Suez, Panama, Malacca) affecting EU operations and supply chains.</t>
  </si>
  <si>
    <t xml:space="preserve">Med-High</t>
  </si>
  <si>
    <t xml:space="preserve">OPS-MAR-003</t>
  </si>
  <si>
    <t xml:space="preserve">Port Labor Strike or Slowdown</t>
  </si>
  <si>
    <t xml:space="preserve">Port Labor Strike or Slowdown affecting EU operations and supply chains.</t>
  </si>
  <si>
    <t xml:space="preserve">OPS-MAR-004</t>
  </si>
  <si>
    <t xml:space="preserve">Shipping Line Bankruptcy or Service Suspension</t>
  </si>
  <si>
    <t xml:space="preserve">Shipping Line Bankruptcy or Service Suspension affecting EU operations and supply chains.</t>
  </si>
  <si>
    <t xml:space="preserve">OPS-MAR-005</t>
  </si>
  <si>
    <t xml:space="preserve">Container Shortage or Equipment Availability</t>
  </si>
  <si>
    <t xml:space="preserve">Container Shortage or Equipment Availability affecting EU operations and supply chains.</t>
  </si>
  <si>
    <t xml:space="preserve">OPS-MAR-006</t>
  </si>
  <si>
    <t xml:space="preserve">Maritime Piracy or Security Incident</t>
  </si>
  <si>
    <t xml:space="preserve">Maritime Piracy or Security Incident affecting EU operations and supply chains.</t>
  </si>
  <si>
    <t xml:space="preserve">OPS-MAR-007</t>
  </si>
  <si>
    <t xml:space="preserve">Port Cyberattack or System Failure</t>
  </si>
  <si>
    <t xml:space="preserve">Port Cyberattack or System Failure affecting EU operations and supply chains.</t>
  </si>
  <si>
    <t xml:space="preserve">OPS-AIR-001</t>
  </si>
  <si>
    <t xml:space="preserve">Air Freight &amp; Aviation</t>
  </si>
  <si>
    <t xml:space="preserve">Air Freight Capacity Shortage</t>
  </si>
  <si>
    <t xml:space="preserve">Air Freight Capacity Shortage affecting EU operations and supply chains.</t>
  </si>
  <si>
    <t xml:space="preserve">Industry/historical base rate (16.0%). 16.0% universal probability</t>
  </si>
  <si>
    <t xml:space="preserve">OPS-AIR-002</t>
  </si>
  <si>
    <t xml:space="preserve">Major Airport Closure (&gt;24 Hours)</t>
  </si>
  <si>
    <t xml:space="preserve">Major Airport Closure (&gt;24 Hours) affecting EU operations and supply chains.</t>
  </si>
  <si>
    <t xml:space="preserve">OPS-AIR-003</t>
  </si>
  <si>
    <t xml:space="preserve">Air Cargo Carrier Bankruptcy</t>
  </si>
  <si>
    <t xml:space="preserve">Air Cargo Carrier Bankruptcy affecting EU operations and supply chains.</t>
  </si>
  <si>
    <t xml:space="preserve">Med</t>
  </si>
  <si>
    <t xml:space="preserve">OPS-AIR-004</t>
  </si>
  <si>
    <t xml:space="preserve">Aviation Fuel Shortage or Price Spike</t>
  </si>
  <si>
    <t xml:space="preserve">Aviation Fuel Shortage or Price Spike affecting EU operations and supply chains.</t>
  </si>
  <si>
    <t xml:space="preserve">OPS-AIR-005</t>
  </si>
  <si>
    <t xml:space="preserve">Airspace Closure or Flight Restrictions</t>
  </si>
  <si>
    <t xml:space="preserve">Airspace Closure or Flight Restrictions affecting EU operations and supply chains.</t>
  </si>
  <si>
    <t xml:space="preserve">OPS-RLD-001</t>
  </si>
  <si>
    <t xml:space="preserve">Road &amp; Rail Transport</t>
  </si>
  <si>
    <t xml:space="preserve">Trucking Capacity Shortage (Driver Shortage)</t>
  </si>
  <si>
    <t xml:space="preserve">Trucking Capacity Shortage (Driver Shortage) affecting EU operations and supply chains.</t>
  </si>
  <si>
    <t xml:space="preserve">OPS-RLD-002</t>
  </si>
  <si>
    <t xml:space="preserve">Rail Freight Disruption (Derailment, Strike)</t>
  </si>
  <si>
    <t xml:space="preserve">Rail Freight Disruption (Derailment, Strike) affecting EU operations and supply chains.</t>
  </si>
  <si>
    <t xml:space="preserve">OPS-RLD-003</t>
  </si>
  <si>
    <t xml:space="preserve">Border Crossing Delays (&gt;48 Hours)</t>
  </si>
  <si>
    <t xml:space="preserve">Border Crossing Delays (&gt;48 Hours) affecting EU operations and supply chains.</t>
  </si>
  <si>
    <t xml:space="preserve">OPS-RLD-004</t>
  </si>
  <si>
    <t xml:space="preserve">Highway/Infrastructure Closure (Accident, Weather)</t>
  </si>
  <si>
    <t xml:space="preserve">Highway/Infrastructure Closure (Accident, Weather) affecting EU operations and supply chains.</t>
  </si>
  <si>
    <t xml:space="preserve">OPS-RLD-005</t>
  </si>
  <si>
    <t xml:space="preserve">Fuel Shortage for Transport Fleet</t>
  </si>
  <si>
    <t xml:space="preserve">Fuel Shortage for Transport Fleet affecting EU operations and supply chains.</t>
  </si>
  <si>
    <t xml:space="preserve">OPS-RLD-006</t>
  </si>
  <si>
    <t xml:space="preserve">Truck/Rail Equipment Shortage</t>
  </si>
  <si>
    <t xml:space="preserve">Truck/Rail Equipment Shortage affecting EU operations and supply chains.</t>
  </si>
  <si>
    <t xml:space="preserve">OPS-CMP-001</t>
  </si>
  <si>
    <t xml:space="preserve">Component &amp; Materials Shortages</t>
  </si>
  <si>
    <t xml:space="preserve">Semiconductor Chip Shortage</t>
  </si>
  <si>
    <t xml:space="preserve">Semiconductor Chip Shortage affecting EU operations and supply chains.</t>
  </si>
  <si>
    <t xml:space="preserve">OPS-CMP-002</t>
  </si>
  <si>
    <t xml:space="preserve">Battery/Energy Storage Materials Shortage</t>
  </si>
  <si>
    <t xml:space="preserve">Battery/Energy Storage Materials Shortage affecting EU operations and supply chains.</t>
  </si>
  <si>
    <t xml:space="preserve">OPS-CMP-003</t>
  </si>
  <si>
    <t xml:space="preserve">Electronic Component Shortage (Capacitors, Resistors)</t>
  </si>
  <si>
    <t xml:space="preserve">Electronic Component Shortage (Capacitors, Resistors) affecting EU operations and supply chains.</t>
  </si>
  <si>
    <t xml:space="preserve">OPS-CMP-004</t>
  </si>
  <si>
    <t xml:space="preserve">Steel/Metals Shortage for Manufacturing</t>
  </si>
  <si>
    <t xml:space="preserve">Steel/Metals Shortage for Manufacturing affecting EU operations and supply chains.</t>
  </si>
  <si>
    <t xml:space="preserve">OPS-CMP-005</t>
  </si>
  <si>
    <t xml:space="preserve">Chemical/Polymer Feedstock Shortage</t>
  </si>
  <si>
    <t xml:space="preserve">Chemical/Polymer Feedstock Shortage affecting EU operations and supply chains.</t>
  </si>
  <si>
    <t xml:space="preserve">OPS-CMP-006</t>
  </si>
  <si>
    <t xml:space="preserve">Packaging Materials Shortage</t>
  </si>
  <si>
    <t xml:space="preserve">Packaging Materials Shortage affecting EU operations and supply chains.</t>
  </si>
  <si>
    <t xml:space="preserve">OPS-SUP-001</t>
  </si>
  <si>
    <t xml:space="preserve">Supplier &amp; Vendor Disruptions</t>
  </si>
  <si>
    <t xml:space="preserve">Critical Supplier Bankruptcy</t>
  </si>
  <si>
    <t xml:space="preserve">Critical Supplier Bankruptcy affecting EU operations and supply chains.</t>
  </si>
  <si>
    <t xml:space="preserve">OPS-SUP-002</t>
  </si>
  <si>
    <t xml:space="preserve">Supplier Facility Fire/Disaster</t>
  </si>
  <si>
    <t xml:space="preserve">Supplier Facility Fire/Disaster affecting EU operations and supply chains.</t>
  </si>
  <si>
    <t xml:space="preserve">OPS-SUP-003</t>
  </si>
  <si>
    <t xml:space="preserve">Supplier Strike or Labor Disruption</t>
  </si>
  <si>
    <t xml:space="preserve">Supplier Strike or Labor Disruption affecting EU operations and supply chains.</t>
  </si>
  <si>
    <t xml:space="preserve">OPS-SUP-004</t>
  </si>
  <si>
    <t xml:space="preserve">Supplier Quality Issue (Recall, Defects)</t>
  </si>
  <si>
    <t xml:space="preserve">Supplier Quality Issue (Recall, Defects) affecting EU operations and supply chains.</t>
  </si>
  <si>
    <t xml:space="preserve">OPS-SUP-005</t>
  </si>
  <si>
    <t xml:space="preserve">Supplier Capacity Insufficient (Demand Surge)</t>
  </si>
  <si>
    <t xml:space="preserve">Supplier Capacity Insufficient (Demand Surge) affecting EU operations and supply chains.</t>
  </si>
  <si>
    <t xml:space="preserve">OPS-SUP-006</t>
  </si>
  <si>
    <t xml:space="preserve">Supplier Exit from Market</t>
  </si>
  <si>
    <t xml:space="preserve">Supplier Exit from Market affecting EU operations and supply chains.</t>
  </si>
  <si>
    <t xml:space="preserve">OPS-MFG-001</t>
  </si>
  <si>
    <t xml:space="preserve">Manufacturing &amp; Production Disruptions</t>
  </si>
  <si>
    <t xml:space="preserve">Critical Equipment Failure (&gt;48hr Downtime)</t>
  </si>
  <si>
    <t xml:space="preserve">Critical Equipment Failure (&gt;48hr Downtime) affecting EU operations and supply chains.</t>
  </si>
  <si>
    <t xml:space="preserve">Industry/historical base rate (28.0%). 28.0% universal probability</t>
  </si>
  <si>
    <t xml:space="preserve">OPS-MFG-002</t>
  </si>
  <si>
    <t xml:space="preserve">Fire or Explosion at Production Facility</t>
  </si>
  <si>
    <t xml:space="preserve">Fire or Explosion at Production Facility affecting EU operations and supply chains.</t>
  </si>
  <si>
    <t xml:space="preserve">OPS-MFG-003</t>
  </si>
  <si>
    <t xml:space="preserve">Production Line Contamination or Quality Failure</t>
  </si>
  <si>
    <t xml:space="preserve">Production Line Contamination or Quality Failure affecting EU operations and supply chains.</t>
  </si>
  <si>
    <t xml:space="preserve">OPS-MFG-004</t>
  </si>
  <si>
    <t xml:space="preserve">Utility Failure (Power, Water, Gas) Disrupting Production</t>
  </si>
  <si>
    <t xml:space="preserve">Utility Failure (Power, Water, Gas) Disrupting Production affecting EU operations and supply chains.</t>
  </si>
  <si>
    <t xml:space="preserve">OPS-MFG-005</t>
  </si>
  <si>
    <t xml:space="preserve">Industrial Accident Requiring Facility Shutdown</t>
  </si>
  <si>
    <t xml:space="preserve">Industrial Accident Requiring Facility Shutdown affecting EU operations and supply chains.</t>
  </si>
  <si>
    <t xml:space="preserve">OPS-MFG-006</t>
  </si>
  <si>
    <t xml:space="preserve">Maintenance Shutdown Extended (Parts Unavailable)</t>
  </si>
  <si>
    <t xml:space="preserve">Maintenance Shutdown Extended (Parts Unavailable) affecting EU operations and supply chains.</t>
  </si>
  <si>
    <t xml:space="preserve">OPS-WHS-001</t>
  </si>
  <si>
    <t xml:space="preserve">Warehouse &amp; Inventory Management</t>
  </si>
  <si>
    <t xml:space="preserve">Warehouse Fire or Major Damage</t>
  </si>
  <si>
    <t xml:space="preserve">Warehouse Fire or Major Damage affecting EU operations and supply chains.</t>
  </si>
  <si>
    <t xml:space="preserve">OPS-WHS-002</t>
  </si>
  <si>
    <t xml:space="preserve">Inventory Management System Failure</t>
  </si>
  <si>
    <t xml:space="preserve">Inventory Management System Failure affecting EU operations and supply chains.</t>
  </si>
  <si>
    <t xml:space="preserve">OPS-WHS-003</t>
  </si>
  <si>
    <t xml:space="preserve">Storage Capacity Shortage</t>
  </si>
  <si>
    <t xml:space="preserve">Storage Capacity Shortage affecting EU operations and supply chains.</t>
  </si>
  <si>
    <t xml:space="preserve">OPS-WHS-004</t>
  </si>
  <si>
    <t xml:space="preserve">Warehouse Automation System Failure</t>
  </si>
  <si>
    <t xml:space="preserve">Warehouse Automation System Failure affecting EU operations and supply chains.</t>
  </si>
  <si>
    <t xml:space="preserve">OPS-WHS-005</t>
  </si>
  <si>
    <t xml:space="preserve">Theft or Inventory Shrinkage (&gt;€1M)</t>
  </si>
  <si>
    <t xml:space="preserve">Theft or Inventory Shrinkage (&gt;€1M) affecting EU operations and supply chains.</t>
  </si>
  <si>
    <t xml:space="preserve">PHY-CLI-001</t>
  </si>
  <si>
    <t xml:space="preserve">Physical</t>
  </si>
  <si>
    <t xml:space="preserve">Climate Extremes &amp; Weather Events</t>
  </si>
  <si>
    <t xml:space="preserve">River flooding disrupting facility operations</t>
  </si>
  <si>
    <t xml:space="preserve">River flooding disrupting facility operations affecting EU operations and supply chains.</t>
  </si>
  <si>
    <t xml:space="preserve">Formula: FIF * AFP * DTA. Variables: Facilities in Floodplains = 0.15 (Fraction of facilities located in floodplain zones); Annual Flood Probability = 0.01 (Historical annual flood probability); Disruption Threshold Adjustment = 0.8 (Fixed adjustment for operational disruption). Result: 0.12%.</t>
  </si>
  <si>
    <t xml:space="preserve">PHY-CLI-002</t>
  </si>
  <si>
    <t xml:space="preserve">Coastal flooding from storm surge</t>
  </si>
  <si>
    <t xml:space="preserve">Coastal flooding from storm surge affecting EU operations and supply chains.</t>
  </si>
  <si>
    <t xml:space="preserve">Medium-High</t>
  </si>
  <si>
    <t xml:space="preserve">Formula: CFF * SSAP. Variables: Coastal Facilities Fraction = 0.05 (Fraction of coastal facilities); Storm Surge Annual Probability = 0.07 (Annual probability of significant storm surge). Result: 0.35%.</t>
  </si>
  <si>
    <t xml:space="preserve">PHY-CLI-003</t>
  </si>
  <si>
    <t xml:space="preserve">Extreme heat wave affecting production/logistics</t>
  </si>
  <si>
    <t xml:space="preserve">Extreme heat wave affecting production/logistics affecting EU operations and supply chains.</t>
  </si>
  <si>
    <t xml:space="preserve">Formula: WER * MDP. Variables: Worker Exposure Rate = 0.23 (Fraction of workforce exposed to heat); Material Disruption Probability = 0.28 (Fixed probability of material/equipment disruption due to heat). Result: 6.5%.</t>
  </si>
  <si>
    <t xml:space="preserve">PHY-CLI-004</t>
  </si>
  <si>
    <t xml:space="preserve">Severe drought impacting water supply</t>
  </si>
  <si>
    <t xml:space="preserve">Severe drought impacting water supply affecting EU operations and supply chains.</t>
  </si>
  <si>
    <t xml:space="preserve">Formula: WSE * EF. Variables: Water Scarcity Extent = 0.28 (Extent of water scarcity in region); Escalation Factor = 0.1 (Fixed escalation factor); Severity Adjustment = 1.0 (Dynamic severity adjustment based on baseline comparison); Water Scarcity Extent Baseline = 0.2 (Historical baseline for water scarcity). Result: 2.8%.</t>
  </si>
  <si>
    <t xml:space="preserve">PHY-CLI-005</t>
  </si>
  <si>
    <t xml:space="preserve">Major wildfire near critical facilities</t>
  </si>
  <si>
    <t xml:space="preserve">Major wildfire near critical facilities affecting EU operations and supply chains.</t>
  </si>
  <si>
    <t xml:space="preserve">Medium</t>
  </si>
  <si>
    <t xml:space="preserve">Formula: FNFZ * AFP10. Variables: Facilities Near Fire Zones = 0.15 (Fraction of facilities near fire-prone zones); Annual Fire Probability within 10km = 0.1 (Annual probability of fire within 10km radius). Result: 1.5%.</t>
  </si>
  <si>
    <t xml:space="preserve">PHY-CLI-006</t>
  </si>
  <si>
    <t xml:space="preserve">Extreme cold disrupting energy/transport</t>
  </si>
  <si>
    <t xml:space="preserve">Extreme cold disrupting energy/transport affecting EU operations and supply chains.</t>
  </si>
  <si>
    <t xml:space="preserve">Formula: FE * ECEP. Variables: Facilities Exposed = 0.4 (40% of EU facilities in temperate/continental zones); Extreme Cold Event Probability = 0.08 (8% annual probability). Result: 3.2%.</t>
  </si>
  <si>
    <t xml:space="preserve">PHY-ENE-001</t>
  </si>
  <si>
    <t xml:space="preserve">Energy Supply &amp; Grid Stability</t>
  </si>
  <si>
    <t xml:space="preserve">Regional power grid blackout (&gt;12 hours)</t>
  </si>
  <si>
    <t xml:space="preserve">Regional power grid blackout (&gt;12 hours) affecting EU operations and supply chains.</t>
  </si>
  <si>
    <t xml:space="preserve">Formula: (MGI / TOY) * IIF * CA. Variables: Major Grid Incidents = 2 (Count of major grid incidents in observation period); Total Operating Years = 5 (Total years of observation); Industrial Impact Factor = 0.35 (Fixed factor for industrial blackout impact); conservative_adjustment = ? (Conservative adjustment factor for industrial impact threshold). Result: 1.2%.</t>
  </si>
  <si>
    <t xml:space="preserve">PHY-ENE-002</t>
  </si>
  <si>
    <t xml:space="preserve">Natural gas supply interruption</t>
  </si>
  <si>
    <t xml:space="preserve">Natural gas supply interruption affecting EU operations and supply chains.</t>
  </si>
  <si>
    <t xml:space="preserve">Formula: (MDM / TOM) * IE. Variables: Major Disruption Months = 18 (Months with major supply disruptions); Total Observation Months = 60 (Total months in observation period (5 years)); Industrial Exposure = 0.28 (Fixed industrial exposure factor). Result: 8.5%.</t>
  </si>
  <si>
    <t xml:space="preserve">PHY-ENE-003</t>
  </si>
  <si>
    <t xml:space="preserve">Electricity price spike (&gt;200% increase)</t>
  </si>
  <si>
    <t xml:space="preserve">Electricity price spike (&gt;200% increase) affecting EU operations and supply chains.</t>
  </si>
  <si>
    <t xml:space="preserve">Formula: (PSM / TOM) * SW. Variables: Price Spike Months = 14 (Months with significant price spikes); Total Observation Months = 60 (Total months in observation period (5 years)); Severity Weight = 0.75 (Fixed weight for price spike severity). Result: 18.0%.</t>
  </si>
  <si>
    <t xml:space="preserve">PHY-ENE-004</t>
  </si>
  <si>
    <t xml:space="preserve">Renewable energy output volatility</t>
  </si>
  <si>
    <t xml:space="preserve">Renewable energy output volatility affecting EU operations and supply chains.</t>
  </si>
  <si>
    <t xml:space="preserve">Formula: (VE / TY) * IIF. Variables: Variability Events = 4 (Count of significant renewable variability events); Total Years = 5 (Total years of observation); Industrial Impact Factor = 0.15 (Fixed industrial impact factor for variability). Result: 12.0%.</t>
  </si>
  <si>
    <t xml:space="preserve">PHY-ENE-005</t>
  </si>
  <si>
    <t xml:space="preserve">Nuclear plant unplanned shutdown</t>
  </si>
  <si>
    <t xml:space="preserve">Nuclear plant unplanned shutdown affecting EU operations and supply chains.</t>
  </si>
  <si>
    <t xml:space="preserve">Formula: (UOD / (TR * DPY)) * RI + MA. Variables: Unplanned Outage Days = 399 (Total unplanned outage days in observation period); Total Reactors = 56 (Total number of reactors in region); Days Per Year = 365 (Fixed days per year constant); Regional Impact = 1.2 (Regional dependency multiplier); Multi-reactor Adjustment = 0.042 (Additional adjustment from multi-reactor/multi-country events). Result: 6.5%.</t>
  </si>
  <si>
    <t xml:space="preserve">PHY-ENE-006</t>
  </si>
  <si>
    <t xml:space="preserve">Grid frequency instability</t>
  </si>
  <si>
    <t xml:space="preserve">Grid frequency instability affecting EU operations and supply chains.</t>
  </si>
  <si>
    <t xml:space="preserve">Formula: (DSE / TY) * LSP. Variables: Demand Surge Events = 6 (Count of significant demand surge events); Total Years = 5 (Total years of observation); Load Shed Probability = 0.075 (Load shed probability for material industrial impact (7.5% of surge events trigger material load-shed)). Result: 9.0%.</t>
  </si>
  <si>
    <t xml:space="preserve">PHY-ENE-007</t>
  </si>
  <si>
    <t xml:space="preserve">Transformer/substation failure</t>
  </si>
  <si>
    <t xml:space="preserve">Transformer/substation failure affecting EU operations and supply chains.</t>
  </si>
  <si>
    <t xml:space="preserve">Formula: 1 - (1 - PSR) ** CN. Variables: Per Substation Rate = 0.0035 (Per-substation failure rate); Critical Nodes = 10 (Number of critical nodes for regional probability calculation). Result: 3.5%.</t>
  </si>
  <si>
    <t xml:space="preserve">PHY-MAT-001</t>
  </si>
  <si>
    <t xml:space="preserve">Natural Resources &amp; Raw Materials</t>
  </si>
  <si>
    <t xml:space="preserve">Rare earth element supply disruption</t>
  </si>
  <si>
    <t xml:space="preserve">Rare earth element supply disruption affecting EU operations and supply chains.</t>
  </si>
  <si>
    <t xml:space="preserve">Formula: (SDY / TY) * SA * threshold_adj. Variables: Supply Disruption Years = 4 (Years with supply disruptions in observation period); Total Years = 5 (Total years of observation); Severity Adjustment = 0.75 (Adjustment for severity of disruptions); Threshold Adjustment = 0.25 (Fixed threshold adjustment factor). Result: 15.0%.</t>
  </si>
  <si>
    <t xml:space="preserve">PHY-MAT-002</t>
  </si>
  <si>
    <t xml:space="preserve">Lithium/battery materials shortage</t>
  </si>
  <si>
    <t xml:space="preserve">Lithium/battery materials shortage affecting EU operations and supply chains.</t>
  </si>
  <si>
    <t xml:space="preserve">Formula: ((PSM + SCM) / TM) * TA. Variables: Price Spike Months = 18 (Months with price spikes); Supply Constraint Months = 12 (Months with supply constraints); Total Months = 60 (Total months in observation period); Threshold Adjustment = 0.4 (Fixed threshold adjustment factor). Result: 20.0%.</t>
  </si>
  <si>
    <t xml:space="preserve">PHY-MAT-003</t>
  </si>
  <si>
    <t xml:space="preserve">Industrial metals price spike (copper, aluminum, steel)</t>
  </si>
  <si>
    <t xml:space="preserve">Industrial metals price spike (copper, aluminum, steel) affecting EU operations and supply chains.</t>
  </si>
  <si>
    <t xml:space="preserve">Formula: MMF * SA. Variables: Multi Metal Factor = 0.42 (At least 1 of 3 metals spiked in ~42% of months); Severity Adjustment = 0.6 (Adjustment for severity of disruptions). Result: 25.0%.</t>
  </si>
  <si>
    <t xml:space="preserve">PHY-MAT-004</t>
  </si>
  <si>
    <t xml:space="preserve">Semiconductor-grade silicon scarcity</t>
  </si>
  <si>
    <t xml:space="preserve">Semiconductor-grade silicon scarcity affecting EU operations and supply chains.</t>
  </si>
  <si>
    <t xml:space="preserve">Formula: (SM / TM) * SF. Variables: Shortage Months = 24 (Months with shortages); Total Months = 60 (Total months in observation period); Severity Factor = 0.45 (Fixed severity factor). Result: 18.0%.</t>
  </si>
  <si>
    <t xml:space="preserve">PHY-MAT-005</t>
  </si>
  <si>
    <t xml:space="preserve">Agricultural commodity shortage (grains, oilseeds)</t>
  </si>
  <si>
    <t xml:space="preserve">Agricultural commodity shortage (grains, oilseeds) affecting EU operations and supply chains.</t>
  </si>
  <si>
    <t xml:space="preserve">Formula: (HVM / TM) * SDF. Variables: High Volatility Months = 28 (Months with high volatility); Total Months = 60 (Total months in observation period); Supply Disruption Factor = 0.48 (Fixed supply disruption factor). Result: 22.0%.</t>
  </si>
  <si>
    <t xml:space="preserve">PHY-MAT-006</t>
  </si>
  <si>
    <t xml:space="preserve">Timber/wood products supply disruption</t>
  </si>
  <si>
    <t xml:space="preserve">Timber/wood products supply disruption affecting EU operations and supply chains.</t>
  </si>
  <si>
    <t xml:space="preserve">Formula: (DE / TY) * IF * SA. Variables: Disruption Events = 4 (Count of disruption events); Total Years = 5 (Total years of observation); Impact Factor = 0.7 (Adjustment for impact severity); Severity Adjustment = 0.25 (Fixed severity adjustment). Result: 14.0%.</t>
  </si>
  <si>
    <t xml:space="preserve">PHY-MAT-007</t>
  </si>
  <si>
    <t xml:space="preserve">Natural fiber shortage (cotton, wool, rubber)</t>
  </si>
  <si>
    <t xml:space="preserve">Natural fiber shortage (cotton, wool, rubber) affecting EU operations and supply chains.</t>
  </si>
  <si>
    <t xml:space="preserve">Formula: (PSE / TY) * MFF * SFil. Variables: Price Spike Events = 4.5 (Count of price spike events); Total Years = 5 (Total years of observation); Multi Fiber Factor = 0.89 (Multi-fiber adjustment factor); Severity Filter = 0.2 (Fixed severity filter). Result: 16.0%.</t>
  </si>
  <si>
    <t xml:space="preserve">PHY-MAT-008</t>
  </si>
  <si>
    <t xml:space="preserve">Plant-derived chemical feedstock shortage (palm oil, cellulose)</t>
  </si>
  <si>
    <t xml:space="preserve">Plant-derived chemical feedstock shortage (palm oil, cellulose) affecting EU operations and supply chains.</t>
  </si>
  <si>
    <t xml:space="preserve">Formula: (DM / TM) * RIF. Variables: Disruption Months = 24 (Months with disruptions); Total Months = 60 (Total months in observation period); Regulatory Impact Factor = 0.45 (Fixed regulatory impact factor). Result: 18.0%.</t>
  </si>
  <si>
    <t xml:space="preserve">PHY-WAT-001</t>
  </si>
  <si>
    <t xml:space="preserve">Water Resources &amp; Quality</t>
  </si>
  <si>
    <t xml:space="preserve">Major water scarcity/drought (WEI+ &gt;20%)</t>
  </si>
  <si>
    <t xml:space="preserve">Major water scarcity/drought (WEI+ &gt;20%) affecting EU operations and supply chains.</t>
  </si>
  <si>
    <t xml:space="preserve">Formula: WTA * ISF. Variables: Water-Stressed Territory Area = 0.4 (Fraction of EU territory experiencing seasonal water stress (WEI+ &gt;20%)); Industrial Severity Factor = 0.7 (Fixed factor for industrial disruption severity from water scarcity). Result: 28.0%.</t>
  </si>
  <si>
    <t xml:space="preserve">PHY-WAT-002</t>
  </si>
  <si>
    <t xml:space="preserve">Municipal/industrial water supply failure (&gt;7 days)</t>
  </si>
  <si>
    <t xml:space="preserve">Municipal/industrial water supply failure (&gt;7 days) affecting EU operations and supply chains.</t>
  </si>
  <si>
    <t xml:space="preserve">Formula: IFE * SDF. Variables: Industrial Floodplain Exposure = 0.15 (Fraction of industrial facilities located in floodplains); Supply Disruption Factor = 0.8 (Fixed factor for probability of supply failure given floodplain exposure). Result: 12.0%.</t>
  </si>
  <si>
    <t xml:space="preserve">PHY-WAT-003</t>
  </si>
  <si>
    <t xml:space="preserve">Wastewater treatment plant failure (&gt;48hr)</t>
  </si>
  <si>
    <t xml:space="preserve">Wastewater treatment plant failure (&gt;48hr) affecting EU operations and supply chains.</t>
  </si>
  <si>
    <t xml:space="preserve">Formula: FPE * FFR. Variables: Floodplain Exposure = 0.36 (Fraction of EU wastewater treatment plants in floodplains); Functional Failure Rate = 0.25 (Fixed annual functional failure rate for floodplain-exposed plants). Result: 9.0%.</t>
  </si>
  <si>
    <t xml:space="preserve">PHY-WAT-004</t>
  </si>
  <si>
    <t xml:space="preserve">Industrial water contamination incident (&gt;72hr remediation)</t>
  </si>
  <si>
    <t xml:space="preserve">Industrial water contamination incident (&gt;72hr remediation) affecting EU operations and supply chains.</t>
  </si>
  <si>
    <t xml:space="preserve">Formula: PFR * MSF. Variables: PFAS-Affected Fraction = 0.3 (Fraction of industrial sites near PFAS-contaminated zones (~23,000 sites in EU)); Material Severity Factor = 0.5 (Fixed factor for material impact likelihood given contamination exposure). Result: 15.0%.</t>
  </si>
  <si>
    <t xml:space="preserve">PHY-WAT-005</t>
  </si>
  <si>
    <t xml:space="preserve">Freshwater shortage for manufacturing (&lt;80% normal supply &gt;=30 days)</t>
  </si>
  <si>
    <t xml:space="preserve">Freshwater shortage for manufacturing (&lt;80% normal supply &gt;=30 days) affecting EU operations and supply chains.</t>
  </si>
  <si>
    <t xml:space="preserve">Formula: WSR * IMF. Variables: Water-Stressed Regions = 0.3 (Fraction of EU manufacturing regions under permanent water stress); Industrial Manufacturing Factor = 0.6 (Fixed factor for manufacturing disruption from water shortage). Result: 18.0%.</t>
  </si>
  <si>
    <t xml:space="preserve">PHY-WAT-006</t>
  </si>
  <si>
    <t xml:space="preserve">Flood damage to water infrastructure (&gt;30 day repairs)</t>
  </si>
  <si>
    <t xml:space="preserve">Flood damage to water infrastructure (&gt;30 day repairs) affecting EU operations and supply chains.</t>
  </si>
  <si>
    <t xml:space="preserve">Formula: FPF * DIL. Variables: Flood-Prone Facilities = 0.2 (Fraction of water infrastructure facilities in flood-prone areas); Damage Impact Likelihood = 0.8 (Fixed probability of material damage given flood exposure (47% of climate losses are hydrological)). Result: 16.0%.</t>
  </si>
  <si>
    <t xml:space="preserve">PHY-GEO-001</t>
  </si>
  <si>
    <t xml:space="preserve">Geophysical Disasters</t>
  </si>
  <si>
    <t xml:space="preserve">Major earthquake (&gt;=M6.0) damaging facilities</t>
  </si>
  <si>
    <t xml:space="preserve">Major earthquake (&gt;=M6.0) damaging facilities affecting EU operations and supply chains.</t>
  </si>
  <si>
    <t xml:space="preserve">Formula: SZE * MEF * DTA. Variables: Seismic Zone Exposure = 0.1 (Fraction of EU industrial facilities in high/medium seismic zones); Major Event Frequency = 0.7 (Annual frequency of M&gt;=6.0 events in EU seismic zones); Disruption Threshold Adjustment = 0.5 (Fixed adjustment for material disruption threshold (&gt;€10M)). Result: 3.5%.</t>
  </si>
  <si>
    <t xml:space="preserve">PHY-GEO-002</t>
  </si>
  <si>
    <t xml:space="preserve">Volcanic eruption/ash cloud (VEI&gt;=3)</t>
  </si>
  <si>
    <t xml:space="preserve">Volcanic eruption/ash cloud (VEI&gt;=3) affecting EU operations and supply chains.</t>
  </si>
  <si>
    <t xml:space="preserve">Formula: VEF * AAE * DSF. Variables: Volcanic Event Frequency = 0.1 (Annual probability of VEI&gt;=3 eruption affecting EU (Iceland/Mediterranean)); Airspace/Ash Exposure = 0.8 (Fraction of EU logistics affected by ash cloud dispersion); Disruption Severity Factor = 0.75 (Fixed severity factor for material disruption (&gt;48h airspace closure)). Result: 6.0%.</t>
  </si>
  <si>
    <t xml:space="preserve">PHY-GEO-003</t>
  </si>
  <si>
    <t xml:space="preserve">Major landslide or subsidence (&gt;=10,000m3)</t>
  </si>
  <si>
    <t xml:space="preserve">Major landslide or subsidence (&gt;=10,000m3) affecting EU operations and supply chains.</t>
  </si>
  <si>
    <t xml:space="preserve">Formula: ULA * ECF * SIF. Variables: Urban Landslide Area = 0.2 (Fraction of EU urban areas on landslide-prone terrain (karst/slope)); Extreme Climate Frequency = 0.5 (Annual frequency of extreme rainfall events triggering landslides); Severity Impact Factor = 0.8 (Fixed factor for material impact severity (&gt;€10M threshold)). Result: 8.0%.</t>
  </si>
  <si>
    <t xml:space="preserve">PHY-GEO-004</t>
  </si>
  <si>
    <t xml:space="preserve">Tsunami (coastal, wave &gt;=2m)</t>
  </si>
  <si>
    <t xml:space="preserve">Tsunami (coastal, wave &gt;=2m) affecting EU operations and supply chains.</t>
  </si>
  <si>
    <t xml:space="preserve">Formula: CFE * TPR. Variables: Coastal Facility Exposure = 0.1 (Fraction of EU facilities in coastal tsunami-vulnerable zones); Tsunami Probability Risk = 0.2 (Annual probability of material tsunami impact in Mediterranean/Atlantic). Result: 2.0%.</t>
  </si>
  <si>
    <t xml:space="preserve">PHY-GEO-005</t>
  </si>
  <si>
    <t xml:space="preserve">Sinkhole or ground collapse (&gt;=5m diameter, &gt;=3m depth)</t>
  </si>
  <si>
    <t xml:space="preserve">Sinkhole or ground collapse (&gt;=5m diameter, &gt;=3m depth) affecting EU operations and supply chains.</t>
  </si>
  <si>
    <t xml:space="preserve">Formula: KTE * CRF * IIF. Variables: Karst Terrain Exposure = 0.2 (Fraction of EU covered by karst terrain (~20% of Europe)); Collapse Risk Frequency = 0.3 (Annual frequency of collapse events in karst/mining areas); Industrial Impact Factor = 0.75 (Fixed factor for material industrial impact). Result: 4.5%.</t>
  </si>
  <si>
    <t xml:space="preserve">PHY-POL-001</t>
  </si>
  <si>
    <t xml:space="preserve">Contamination &amp; Pollution</t>
  </si>
  <si>
    <t xml:space="preserve">Major chemical/hazmat spill (&gt;=1,000kg, Seveso III event)</t>
  </si>
  <si>
    <t xml:space="preserve">Major chemical/hazmat spill (&gt;=1,000kg, Seveso III event) affecting EU operations and supply chains.</t>
  </si>
  <si>
    <t xml:space="preserve">Formula: SFA * AIR. Variables: Seveso-Adjacent Facility Fraction = 0.25 (Fraction of large industrial facilities adjacent to or under Seveso III (&gt;11,000 sites)); Accident Impact Rate = 0.2 (Fixed annual rate of material-impact chemical accidents (&lt;22/year avg)). Result: 5.0%.</t>
  </si>
  <si>
    <t xml:space="preserve">PHY-POL-002</t>
  </si>
  <si>
    <t xml:space="preserve">Air quality crisis (PM2.5 &gt;50ug/m3 or NOx &gt;200ug/m3 for &gt;=3 days)</t>
  </si>
  <si>
    <t xml:space="preserve">Air quality crisis (PM2.5 &gt;50ug/m3 or NOx &gt;200ug/m3 for &gt;=3 days) affecting EU operations and supply chains.</t>
  </si>
  <si>
    <t xml:space="preserve">Formula: APC * EDI. Variables: Air Pollution Crisis Frequency = 0.4 (Annual frequency of severe pollution episodes in urban-industrial zones); Economic Disruption Index = 0.55 (Fixed economic disruption factor (EU air pollution costs €600B/year, 4% GDP)). Result: 22.0%.</t>
  </si>
  <si>
    <t xml:space="preserve">PHY-POL-003</t>
  </si>
  <si>
    <t xml:space="preserve">Soil contamination discovery (heavy metals, PAHs, PCBs, PFAS)</t>
  </si>
  <si>
    <t xml:space="preserve">Soil contamination discovery (heavy metals, PAHs, PCBs, PFAS) affecting EU operations and supply chains.</t>
  </si>
  <si>
    <t xml:space="preserve">Formula: BSF * CLR. Variables: Brownfield Site Fraction = 0.35 (Fraction of industrial sites on or near brownfield/legacy contamination); Contamination Likelihood Ratio = 0.4 (Fixed annual discovery probability for PFAS/legacy contamination). Result: 14.0%.</t>
  </si>
  <si>
    <t xml:space="preserve">PHY-POL-004</t>
  </si>
  <si>
    <t xml:space="preserve">Marine/coastal oil spill (&gt;=7 tonnes)</t>
  </si>
  <si>
    <t xml:space="preserve">Marine/coastal oil spill (&gt;=7 tonnes) affecting EU operations and supply chains.</t>
  </si>
  <si>
    <t xml:space="preserve">Formula: SDF * MIR. Variables: Shipping Detection Frequency = 0.2 (Fraction of EU shipping routes with annual material spill detections (7,513 spills detected 2023)); Material Impact Rate = 0.4 (Fixed rate of material-impact per detected spill (&gt;7 tonnes)). Result: 8.0%.</t>
  </si>
  <si>
    <t xml:space="preserve">PHY-POL-005</t>
  </si>
  <si>
    <t xml:space="preserve">Radiation/nuclear contamination (&gt;regulatory limits)</t>
  </si>
  <si>
    <t xml:space="preserve">Radiation/nuclear contamination (&gt;regulatory limits) affecting EU operations and supply chains.</t>
  </si>
  <si>
    <t xml:space="preserve">Formula: NFP * IRF * AIR. Variables: Nuclear Facility Proximity = 0.25 (Fraction of EU industrial sites within 200km of nuclear facilities); Incident Report Frequency = 0.2 (Annual frequency of reportable nuclear/radiation incidents); Adjusted Impact Rate = 0.6 (Fixed adjustment for material impact threshold). Result: 3.0%.</t>
  </si>
  <si>
    <t xml:space="preserve">PHY-POL-006</t>
  </si>
  <si>
    <t xml:space="preserve">Electromagnetic/RF interference (&gt;24hr, affecting critical systems)</t>
  </si>
  <si>
    <t xml:space="preserve">Electromagnetic/RF interference (&gt;24hr, affecting critical systems) affecting EU operations and supply chains.</t>
  </si>
  <si>
    <t xml:space="preserve">Formula: GAS * GVI * IIF. Variables: Geomagnetic Activity Share = 0.25 (Fraction of year with elevated geomagnetic/solar activity (Solar Cycle 25 max)); Grid Vulnerability Index = 0.4 (Fraction of EU grid/comms infrastructure vulnerable to EMI transients); Industrial Impact Factor = 0.7 (Fixed factor for material industrial impact from EMI disruption). Result: 7.0%.</t>
  </si>
  <si>
    <t xml:space="preserve">PHY-POL-007</t>
  </si>
  <si>
    <t xml:space="preserve">Noise pollution regulatory action (&gt;10dB over limits &gt;3 months)</t>
  </si>
  <si>
    <t xml:space="preserve">Noise pollution regulatory action (&gt;10dB over limits &gt;3 months) affecting EU operations and supply chains.</t>
  </si>
  <si>
    <t xml:space="preserve">Formula: PEF * ECR. Variables: Population Exposure Fraction = 0.2 (Fraction of EU population exposed to harmful noise levels (&gt;55 dB Lden)); Enforcement Compliance Rate = 0.55 (Fixed annual rate of noise enforcement actions in urban-industrial interfaces). Result: 11.0%.</t>
  </si>
  <si>
    <t xml:space="preserve">PHY-BIO-001</t>
  </si>
  <si>
    <t xml:space="preserve">Biological &amp; Pandemic Risks</t>
  </si>
  <si>
    <t xml:space="preserve">Zoonotic disease outbreak (H5N1 avian flu, novel pathogens)</t>
  </si>
  <si>
    <t xml:space="preserve">Zoonotic disease outbreak (H5N1 avian flu, novel pathogens) affecting EU operations and supply chains.</t>
  </si>
  <si>
    <t xml:space="preserve">Formula: OPF * OBR. Variables: Outbreak-Proximate Facilities = 0.5 (Fraction of EU food/agriculture facilities proximate to H5N1/zoonotic outbreak zones (&gt;700 outbreaks in 2025)); Outbreak Reach Factor = 0.7 (Fixed factor for material supply chain impact from outbreak (biosecurity, culling)). Result: 35.0%.</t>
  </si>
  <si>
    <t xml:space="preserve">PHY-BIO-002</t>
  </si>
  <si>
    <t xml:space="preserve">Infectious disease outbreak (non-zoonotic, &gt;=10% workforce affected)</t>
  </si>
  <si>
    <t xml:space="preserve">Infectious disease outbreak (non-zoonotic, &gt;=10% workforce affected) affecting EU operations and supply chains.</t>
  </si>
  <si>
    <t xml:space="preserve">Formula: IDF * WIF. Variables: Infectious Disease Frequency = 0.3 (Annual frequency of significant infectious disease outbreaks in EU (ECDC &gt;50 tracked diseases)); Workforce Impact Factor = 0.6 (Fixed factor for workforce disruption given outbreak (absenteeism, closures)). Result: 18.0%.</t>
  </si>
  <si>
    <t xml:space="preserve">PHY-BIO-003</t>
  </si>
  <si>
    <t xml:space="preserve">Antimicrobial resistance (AMR) health crisis</t>
  </si>
  <si>
    <t xml:space="preserve">Antimicrobial resistance (AMR) health crisis affecting EU operations and supply chains.</t>
  </si>
  <si>
    <t xml:space="preserve">Formula: ARP * HIF. Variables: AMR Prevalence Rate = 0.2 (Fraction of EU healthcare/food facilities with material AMR exposure (&gt;35,000 deaths/year)); Healthcare Impact Factor = 0.6 (Fixed factor for material economic impact from AMR (treatment, recalls, penalties)). Result: 12.0%.</t>
  </si>
  <si>
    <t xml:space="preserve">PHY-BIO-004</t>
  </si>
  <si>
    <t xml:space="preserve">Food contamination/recall (RASFF alert level)</t>
  </si>
  <si>
    <t xml:space="preserve">Food contamination/recall (RASFF alert level) affecting EU operations and supply chains.</t>
  </si>
  <si>
    <t xml:space="preserve">Formula: RNF * MSF. Variables: Recall Notification Frequency = 0.5 (Fraction of large food producers receiving RASFF notifications annually (~4,000+ alerts/year)); Material Severity Factor = 0.5 (Fixed factor for material impact severity (&gt;€10M recalls, brand damage)). Result: 25.0%.</t>
  </si>
  <si>
    <t xml:space="preserve">PHY-BIO-005</t>
  </si>
  <si>
    <t xml:space="preserve">Occupational biological hazard (workplace exposure event)</t>
  </si>
  <si>
    <t xml:space="preserve">Occupational biological hazard (workplace exposure event) affecting EU operations and supply chains.</t>
  </si>
  <si>
    <t xml:space="preserve">Formula: BEF * OHR. Variables: Biological Exposure Frequency = 0.25 (Fraction of healthcare/lab/food facilities with annual biological exposure events); Occupational Hazard Rate = 0.4 (Fixed rate of material impact from biological exposure (550,000 deaths from bio risk factors 2022)). Result: 10.0%.</t>
  </si>
  <si>
    <t xml:space="preserve">STR-GEO-001</t>
  </si>
  <si>
    <t xml:space="preserve">Structural</t>
  </si>
  <si>
    <t xml:space="preserve">Geopolitical Conflict &amp; Instability</t>
  </si>
  <si>
    <t xml:space="preserve">Armed Conflict in Supplier Country</t>
  </si>
  <si>
    <t xml:space="preserve">Outbreak or escalation of armed conflict in a country hosting critical suppliers, manufacturing facilities, or sourcing operations, causing supply disruption, facility damage, or inability to operate.</t>
  </si>
  <si>
    <t xml:space="preserve">Base rate adjusted by 4-factor model (exposure, vulnerability, control, trend factors).</t>
  </si>
  <si>
    <t xml:space="preserve">STR-GEO-002</t>
  </si>
  <si>
    <t xml:space="preserve">Trade Embargo or International Sanctions</t>
  </si>
  <si>
    <t xml:space="preserve">Imposition of comprehensive or targeted international sanctions, trade embargoes, or economic restrictions affecting ability to conduct business with sanctioned entities, countries, or sectors.</t>
  </si>
  <si>
    <t xml:space="preserve">STR-GEO-003</t>
  </si>
  <si>
    <t xml:space="preserve">Nationalization or Asset Expropriation</t>
  </si>
  <si>
    <t xml:space="preserve">Government seizure or forced nationalization of foreign-owned assets, facilities, or operations, either through outright expropriation or de facto control measures.</t>
  </si>
  <si>
    <t xml:space="preserve">STR-GEO-004</t>
  </si>
  <si>
    <t xml:space="preserve">Civil Unrest Disrupting Operations</t>
  </si>
  <si>
    <t xml:space="preserve">Strikes, protests, riots, or civil unrest disrupting facilities, supply chains, or workforce availability for &gt;48 hours, causing material operational impact.</t>
  </si>
  <si>
    <t xml:space="preserve">STR-GEO-005</t>
  </si>
  <si>
    <t xml:space="preserve">State Collapse or Regime Change</t>
  </si>
  <si>
    <t xml:space="preserve">Collapse of state institutions, regime change, or extreme political instability causing breakdown of rule of law, contract enforceability, or operational environment.</t>
  </si>
  <si>
    <t xml:space="preserve">STR-GEO-006</t>
  </si>
  <si>
    <t xml:space="preserve">Territorial Dispute (Sea Lanes, Borders)</t>
  </si>
  <si>
    <t xml:space="preserve">Armed territorial disputes, contested borders, or sea lane control issues disrupting trade routes, energy corridors, or supply chain access.</t>
  </si>
  <si>
    <t xml:space="preserve">STR-GEO-007</t>
  </si>
  <si>
    <t xml:space="preserve">Military Mobilization Affecting Workforce</t>
  </si>
  <si>
    <t xml:space="preserve">Large-scale military mobilization, conscription, or reserve call-ups removing significant workforce from operations in conflict or near-conflict zones.</t>
  </si>
  <si>
    <t xml:space="preserve">STR-TRD-001</t>
  </si>
  <si>
    <t xml:space="preserve">Trade &amp; Economic Policy Shifts</t>
  </si>
  <si>
    <t xml:space="preserve">Major Tariff Increases (&gt;25%)</t>
  </si>
  <si>
    <t xml:space="preserve">Imposition of tariffs exceeding 25% on significant trade volumes, affecting cost structure, competitiveness, or market access for EU businesses.</t>
  </si>
  <si>
    <t xml:space="preserve">STR-TRD-002</t>
  </si>
  <si>
    <t xml:space="preserve">Export Controls on Critical Goods</t>
  </si>
  <si>
    <t xml:space="preserve">Government-imposed restrictions on exporting critical technologies, dual-use goods, or strategic materials, limiting market access or requiring costly compliance.</t>
  </si>
  <si>
    <t xml:space="preserve">STR-TRD-003</t>
  </si>
  <si>
    <t xml:space="preserve">Currency Controls or Capital Restrictions</t>
  </si>
  <si>
    <t xml:space="preserve">Government-imposed restrictions on currency convertibility, capital repatriation, foreign exchange access, or cross-border payments, impeding financial operations.</t>
  </si>
  <si>
    <t xml:space="preserve">STR-TRD-004</t>
  </si>
  <si>
    <t xml:space="preserve">Trade Agreement Termination</t>
  </si>
  <si>
    <t xml:space="preserve">Termination, suspension, or non-renewal of bilateral/multilateral trade agreements, resulting in loss of preferential market access, tariff increases, or regulatory barriers.</t>
  </si>
  <si>
    <t xml:space="preserve">STR-TRD-005</t>
  </si>
  <si>
    <t xml:space="preserve">Import Quota or Licensing Requirements</t>
  </si>
  <si>
    <t xml:space="preserve">New or tightened import quotas, licensing requirements, or quantitative restrictions limiting ability to import goods or requiring costly compliance processes.</t>
  </si>
  <si>
    <t xml:space="preserve">STR-TRD-006</t>
  </si>
  <si>
    <t xml:space="preserve">Economic Sanctions on Business Partners</t>
  </si>
  <si>
    <t xml:space="preserve">Sanctions imposed on key business partners (customers, suppliers, partners) requiring immediate relationship termination and causing supply/revenue disruption.</t>
  </si>
  <si>
    <t xml:space="preserve">STR-REG-001</t>
  </si>
  <si>
    <t xml:space="preserve">Regulatory &amp; Compliance Changes</t>
  </si>
  <si>
    <t xml:space="preserve">Environmental Regulation (Emissions, Waste)</t>
  </si>
  <si>
    <t xml:space="preserve">New or significantly tightened environmental regulations on emissions (GHG, air quality), waste management, circular economy, or pollution control, requiring operational changes or investments.</t>
  </si>
  <si>
    <t xml:space="preserve">STR-REG-002</t>
  </si>
  <si>
    <t xml:space="preserve">Data Protection/Privacy Law Changes (GDPR-style)</t>
  </si>
  <si>
    <t xml:space="preserve">New or expanded data protection/privacy regulations similar to GDPR, requiring significant compliance investments, operational changes, or restricting data use/transfers.</t>
  </si>
  <si>
    <t xml:space="preserve">STR-REG-003</t>
  </si>
  <si>
    <t xml:space="preserve">Product Safety Standards Changes</t>
  </si>
  <si>
    <t xml:space="preserve">Changes to product safety standards, certification requirements, or testing protocols requiring product redesign, re-certification, or market withdrawals.</t>
  </si>
  <si>
    <t xml:space="preserve">STR-REG-004</t>
  </si>
  <si>
    <t xml:space="preserve">Labor Law Changes (Minimum Wage, Hours)</t>
  </si>
  <si>
    <t xml:space="preserve">Significant changes to labor laws affecting wages, working hours, benefits, or employment rights, increasing labor costs or constraining operational flexibility.</t>
  </si>
  <si>
    <t xml:space="preserve">STR-REG-005</t>
  </si>
  <si>
    <t xml:space="preserve">Financial Reporting/Tax Law Changes</t>
  </si>
  <si>
    <t xml:space="preserve">Major changes to financial reporting standards (e.g., IFRS), tax codes, transfer pricing rules, or anti-avoidance measures, requiring system changes and potentially increasing tax burdens.</t>
  </si>
  <si>
    <t xml:space="preserve">STR-REG-006</t>
  </si>
  <si>
    <t xml:space="preserve">Supply Chain Due Diligence Requirements</t>
  </si>
  <si>
    <t xml:space="preserve">Mandatory supply chain due diligence requirements (human rights, environmental, conflict minerals) requiring transparency, audits, and potential supplier changes.</t>
  </si>
  <si>
    <t xml:space="preserve">STR-REG-007</t>
  </si>
  <si>
    <t xml:space="preserve">Chemical/Materials Restrictions (REACH-style)</t>
  </si>
  <si>
    <t xml:space="preserve">New restrictions on chemicals, materials, or substances (similar to REACH, RoHS) requiring product reformulation, alternative sourcing, or market withdrawals.</t>
  </si>
  <si>
    <t xml:space="preserve">STR-ECO-001</t>
  </si>
  <si>
    <t xml:space="preserve">Macroeconomic Shocks</t>
  </si>
  <si>
    <t xml:space="preserve">Recession in major market (GDP contraction &gt;2%)</t>
  </si>
  <si>
    <t xml:space="preserve">STR-ECO-002</t>
  </si>
  <si>
    <t xml:space="preserve">Banking crisis or credit crunch</t>
  </si>
  <si>
    <t xml:space="preserve">STR-ECO-003</t>
  </si>
  <si>
    <t xml:space="preserve">Currency devaluation (&gt;30% vs. USD/EUR)</t>
  </si>
  <si>
    <t xml:space="preserve">STR-ECO-004</t>
  </si>
  <si>
    <t xml:space="preserve">Sovereign debt crisis</t>
  </si>
  <si>
    <t xml:space="preserve">STR-ECO-005</t>
  </si>
  <si>
    <t xml:space="preserve">Inflation surge (&gt;10% annually)</t>
  </si>
  <si>
    <t xml:space="preserve">STR-ECO-006</t>
  </si>
  <si>
    <t xml:space="preserve">Asset bubble burst (real estate, stocks)</t>
  </si>
  <si>
    <t xml:space="preserve">STR-ENP-001</t>
  </si>
  <si>
    <t xml:space="preserve">Energy Transition &amp; Climate Policy</t>
  </si>
  <si>
    <t xml:space="preserve">Carbon pricing/tax implementation</t>
  </si>
  <si>
    <t xml:space="preserve">STR-ENP-002</t>
  </si>
  <si>
    <t xml:space="preserve">Fossil fuel subsidy removal</t>
  </si>
  <si>
    <t xml:space="preserve">STR-ENP-003</t>
  </si>
  <si>
    <t xml:space="preserve">Renewable energy mandates</t>
  </si>
  <si>
    <t xml:space="preserve">STR-ENP-004</t>
  </si>
  <si>
    <t xml:space="preserve">Internal combustion engine phase-out</t>
  </si>
  <si>
    <t xml:space="preserve">STR-ENP-005</t>
  </si>
  <si>
    <t xml:space="preserve">Building energy efficiency requirements</t>
  </si>
  <si>
    <t xml:space="preserve">STR-ENP-006</t>
  </si>
  <si>
    <t xml:space="preserve">Green hydrogen/ammonia transition</t>
  </si>
  <si>
    <t xml:space="preserve">STR-TEC-001</t>
  </si>
  <si>
    <t xml:space="preserve">Technology Policy &amp; Regulatory Restrictions</t>
  </si>
  <si>
    <t xml:space="preserve">Semiconductor / Advanced Technology Export Control Expansion</t>
  </si>
  <si>
    <t xml:space="preserve">STR-TEC-002</t>
  </si>
  <si>
    <t xml:space="preserve">AI Regulation / Algorithmic Compliance Requirements (EU AI Act)</t>
  </si>
  <si>
    <t xml:space="preserve">STR-TEC-003</t>
  </si>
  <si>
    <t xml:space="preserve">Data Protection &amp; Localization Mandates (GDPR, Schrems)</t>
  </si>
  <si>
    <t xml:space="preserve">STR-TEC-004</t>
  </si>
  <si>
    <t xml:space="preserve">Forced Technology Transfer / Local Partnering Requirements</t>
  </si>
  <si>
    <t xml:space="preserve">STR-TEC-005</t>
  </si>
  <si>
    <t xml:space="preserve">Critical Technology Investment Screening (FDI/CFIUS)</t>
  </si>
  <si>
    <t xml:space="preserve">STR-FIN-001</t>
  </si>
  <si>
    <t xml:space="preserve">Financial Market Disruptions</t>
  </si>
  <si>
    <t xml:space="preserve">SWIFT or payment system exclusion</t>
  </si>
  <si>
    <t xml:space="preserve">STR-FIN-002</t>
  </si>
  <si>
    <t xml:space="preserve">Foreign exchange market closure</t>
  </si>
  <si>
    <t xml:space="preserve">STR-FIN-003</t>
  </si>
  <si>
    <t xml:space="preserve">Credit market freeze (no access to financing)</t>
  </si>
  <si>
    <t xml:space="preserve">STR-FIN-004</t>
  </si>
  <si>
    <t xml:space="preserve">Insurance market withdrawal (uninsurable risks)</t>
  </si>
  <si>
    <t xml:space="preserve">STR-FIN-005</t>
  </si>
  <si>
    <t xml:space="preserve">Securities market suspension</t>
  </si>
  <si>
    <t xml:space="preserve">Low</t>
  </si>
  <si>
    <t xml:space="preserve">Risk Families Summary</t>
  </si>
  <si>
    <t xml:space="preserve">Family Code</t>
  </si>
  <si>
    <t xml:space="preserve">Family Name</t>
  </si>
  <si>
    <t xml:space="preserve"># Events</t>
  </si>
  <si>
    <t xml:space="preserve">Avg Base Rate</t>
  </si>
  <si>
    <t xml:space="preserve">3.1</t>
  </si>
  <si>
    <t xml:space="preserve">3.2</t>
  </si>
  <si>
    <t xml:space="preserve">3.3</t>
  </si>
  <si>
    <t xml:space="preserve">3.4</t>
  </si>
  <si>
    <t xml:space="preserve">3.5</t>
  </si>
  <si>
    <t xml:space="preserve">3.6</t>
  </si>
  <si>
    <t xml:space="preserve">3.7</t>
  </si>
  <si>
    <t xml:space="preserve">4.1</t>
  </si>
  <si>
    <t xml:space="preserve">4.2</t>
  </si>
  <si>
    <t xml:space="preserve">4.3</t>
  </si>
  <si>
    <t xml:space="preserve">4.4</t>
  </si>
  <si>
    <t xml:space="preserve">4.5</t>
  </si>
  <si>
    <t xml:space="preserve">4.6</t>
  </si>
  <si>
    <t xml:space="preserve">4.7</t>
  </si>
  <si>
    <t xml:space="preserve">1.1</t>
  </si>
  <si>
    <t xml:space="preserve">1.2</t>
  </si>
  <si>
    <t xml:space="preserve">1.3</t>
  </si>
  <si>
    <t xml:space="preserve">1.4</t>
  </si>
  <si>
    <t xml:space="preserve">1.5</t>
  </si>
  <si>
    <t xml:space="preserve">1.6</t>
  </si>
  <si>
    <t xml:space="preserve">1.7</t>
  </si>
  <si>
    <t xml:space="preserve">2.1</t>
  </si>
  <si>
    <t xml:space="preserve">2.2</t>
  </si>
  <si>
    <t xml:space="preserve">2.3</t>
  </si>
  <si>
    <t xml:space="preserve">2.4</t>
  </si>
  <si>
    <t xml:space="preserve">2.5</t>
  </si>
  <si>
    <t xml:space="preserve">2.6</t>
  </si>
  <si>
    <t xml:space="preserve">2.7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</si>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</sst>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E36C09"/>
      <name val="Arial"/>
      <family val="0"/>
      <charset val="1"/>
    </font>
    <font>
      <sz val="10"/>
      <color rgb="FF548235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E75B6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36C09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36C09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1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4"/>
    <col collapsed="false" customWidth="true" hidden="false" outlineLevel="0" max="4" min="4" style="0" width="42"/>
    <col collapsed="false" customWidth="true" hidden="false" outlineLevel="0" max="5" min="5" style="0" width="5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6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5.05" hidden="false" customHeight="false" outlineLevel="0" collapsed="false">
      <c r="A5" s="4" t="s">
        <v>10</v>
      </c>
      <c r="B5" s="4" t="s">
        <v>11</v>
      </c>
      <c r="C5" s="5" t="s">
        <v>12</v>
      </c>
      <c r="D5" s="5" t="s">
        <v>13</v>
      </c>
      <c r="E5" s="5" t="s">
        <v>14</v>
      </c>
      <c r="F5" s="6" t="n">
        <v>0.08</v>
      </c>
      <c r="G5" s="4" t="s">
        <v>15</v>
      </c>
      <c r="H5" s="5" t="s">
        <v>16</v>
      </c>
    </row>
    <row r="6" customFormat="false" ht="35.05" hidden="false" customHeight="false" outlineLevel="0" collapsed="false">
      <c r="A6" s="7" t="s">
        <v>17</v>
      </c>
      <c r="B6" s="7" t="s">
        <v>11</v>
      </c>
      <c r="C6" s="8" t="s">
        <v>12</v>
      </c>
      <c r="D6" s="8" t="s">
        <v>18</v>
      </c>
      <c r="E6" s="8" t="s">
        <v>19</v>
      </c>
      <c r="F6" s="9" t="n">
        <v>0.05</v>
      </c>
      <c r="G6" s="7" t="s">
        <v>15</v>
      </c>
      <c r="H6" s="8" t="s">
        <v>20</v>
      </c>
    </row>
    <row r="7" customFormat="false" ht="35.05" hidden="false" customHeight="false" outlineLevel="0" collapsed="false">
      <c r="A7" s="4" t="s">
        <v>21</v>
      </c>
      <c r="B7" s="4" t="s">
        <v>11</v>
      </c>
      <c r="C7" s="5" t="s">
        <v>12</v>
      </c>
      <c r="D7" s="5" t="s">
        <v>22</v>
      </c>
      <c r="E7" s="5" t="s">
        <v>23</v>
      </c>
      <c r="F7" s="10" t="n">
        <v>0.03</v>
      </c>
      <c r="G7" s="4" t="s">
        <v>15</v>
      </c>
      <c r="H7" s="5" t="s">
        <v>24</v>
      </c>
    </row>
    <row r="8" customFormat="false" ht="35.05" hidden="false" customHeight="false" outlineLevel="0" collapsed="false">
      <c r="A8" s="7" t="s">
        <v>25</v>
      </c>
      <c r="B8" s="7" t="s">
        <v>11</v>
      </c>
      <c r="C8" s="8" t="s">
        <v>12</v>
      </c>
      <c r="D8" s="8" t="s">
        <v>26</v>
      </c>
      <c r="E8" s="8" t="s">
        <v>27</v>
      </c>
      <c r="F8" s="11" t="n">
        <v>0.04</v>
      </c>
      <c r="G8" s="7" t="s">
        <v>15</v>
      </c>
      <c r="H8" s="8" t="s">
        <v>28</v>
      </c>
    </row>
    <row r="9" customFormat="false" ht="35.05" hidden="false" customHeight="false" outlineLevel="0" collapsed="false">
      <c r="A9" s="4" t="s">
        <v>29</v>
      </c>
      <c r="B9" s="4" t="s">
        <v>11</v>
      </c>
      <c r="C9" s="5" t="s">
        <v>12</v>
      </c>
      <c r="D9" s="5" t="s">
        <v>30</v>
      </c>
      <c r="E9" s="5" t="s">
        <v>31</v>
      </c>
      <c r="F9" s="10" t="n">
        <v>0.03</v>
      </c>
      <c r="G9" s="4" t="s">
        <v>15</v>
      </c>
      <c r="H9" s="5" t="s">
        <v>24</v>
      </c>
    </row>
    <row r="10" customFormat="false" ht="35.05" hidden="false" customHeight="false" outlineLevel="0" collapsed="false">
      <c r="A10" s="7" t="s">
        <v>32</v>
      </c>
      <c r="B10" s="7" t="s">
        <v>11</v>
      </c>
      <c r="C10" s="8" t="s">
        <v>12</v>
      </c>
      <c r="D10" s="8" t="s">
        <v>33</v>
      </c>
      <c r="E10" s="8" t="s">
        <v>34</v>
      </c>
      <c r="F10" s="11" t="n">
        <v>0.02</v>
      </c>
      <c r="G10" s="7" t="s">
        <v>15</v>
      </c>
      <c r="H10" s="8" t="s">
        <v>35</v>
      </c>
    </row>
    <row r="11" customFormat="false" ht="35.05" hidden="false" customHeight="false" outlineLevel="0" collapsed="false">
      <c r="A11" s="4" t="s">
        <v>36</v>
      </c>
      <c r="B11" s="4" t="s">
        <v>11</v>
      </c>
      <c r="C11" s="5" t="s">
        <v>37</v>
      </c>
      <c r="D11" s="5" t="s">
        <v>38</v>
      </c>
      <c r="E11" s="5" t="s">
        <v>39</v>
      </c>
      <c r="F11" s="6" t="n">
        <v>0.12</v>
      </c>
      <c r="G11" s="4" t="s">
        <v>40</v>
      </c>
      <c r="H11" s="5" t="s">
        <v>41</v>
      </c>
    </row>
    <row r="12" customFormat="false" ht="35.05" hidden="false" customHeight="false" outlineLevel="0" collapsed="false">
      <c r="A12" s="7" t="s">
        <v>42</v>
      </c>
      <c r="B12" s="7" t="s">
        <v>11</v>
      </c>
      <c r="C12" s="8" t="s">
        <v>37</v>
      </c>
      <c r="D12" s="8" t="s">
        <v>43</v>
      </c>
      <c r="E12" s="8" t="s">
        <v>44</v>
      </c>
      <c r="F12" s="9" t="n">
        <v>0.08</v>
      </c>
      <c r="G12" s="7" t="s">
        <v>40</v>
      </c>
      <c r="H12" s="8" t="s">
        <v>16</v>
      </c>
    </row>
    <row r="13" customFormat="false" ht="35.05" hidden="false" customHeight="false" outlineLevel="0" collapsed="false">
      <c r="A13" s="4" t="s">
        <v>45</v>
      </c>
      <c r="B13" s="4" t="s">
        <v>11</v>
      </c>
      <c r="C13" s="5" t="s">
        <v>37</v>
      </c>
      <c r="D13" s="5" t="s">
        <v>46</v>
      </c>
      <c r="E13" s="5" t="s">
        <v>47</v>
      </c>
      <c r="F13" s="6" t="n">
        <v>0.1</v>
      </c>
      <c r="G13" s="4" t="s">
        <v>40</v>
      </c>
      <c r="H13" s="5" t="s">
        <v>48</v>
      </c>
    </row>
    <row r="14" customFormat="false" ht="35.05" hidden="false" customHeight="false" outlineLevel="0" collapsed="false">
      <c r="A14" s="7" t="s">
        <v>49</v>
      </c>
      <c r="B14" s="7" t="s">
        <v>11</v>
      </c>
      <c r="C14" s="8" t="s">
        <v>37</v>
      </c>
      <c r="D14" s="8" t="s">
        <v>50</v>
      </c>
      <c r="E14" s="8" t="s">
        <v>51</v>
      </c>
      <c r="F14" s="12" t="n">
        <v>0.15</v>
      </c>
      <c r="G14" s="7" t="s">
        <v>40</v>
      </c>
      <c r="H14" s="8" t="s">
        <v>52</v>
      </c>
    </row>
    <row r="15" customFormat="false" ht="35.05" hidden="false" customHeight="false" outlineLevel="0" collapsed="false">
      <c r="A15" s="4" t="s">
        <v>53</v>
      </c>
      <c r="B15" s="4" t="s">
        <v>11</v>
      </c>
      <c r="C15" s="5" t="s">
        <v>37</v>
      </c>
      <c r="D15" s="5" t="s">
        <v>54</v>
      </c>
      <c r="E15" s="5" t="s">
        <v>55</v>
      </c>
      <c r="F15" s="6" t="n">
        <v>0.07</v>
      </c>
      <c r="G15" s="4" t="s">
        <v>40</v>
      </c>
      <c r="H15" s="5" t="s">
        <v>56</v>
      </c>
    </row>
    <row r="16" customFormat="false" ht="35.05" hidden="false" customHeight="false" outlineLevel="0" collapsed="false">
      <c r="A16" s="7" t="s">
        <v>57</v>
      </c>
      <c r="B16" s="7" t="s">
        <v>11</v>
      </c>
      <c r="C16" s="8" t="s">
        <v>37</v>
      </c>
      <c r="D16" s="8" t="s">
        <v>58</v>
      </c>
      <c r="E16" s="8" t="s">
        <v>59</v>
      </c>
      <c r="F16" s="9" t="n">
        <v>0.06</v>
      </c>
      <c r="G16" s="7" t="s">
        <v>40</v>
      </c>
      <c r="H16" s="8" t="s">
        <v>60</v>
      </c>
    </row>
    <row r="17" customFormat="false" ht="35.05" hidden="false" customHeight="false" outlineLevel="0" collapsed="false">
      <c r="A17" s="4" t="s">
        <v>61</v>
      </c>
      <c r="B17" s="4" t="s">
        <v>11</v>
      </c>
      <c r="C17" s="5" t="s">
        <v>37</v>
      </c>
      <c r="D17" s="5" t="s">
        <v>62</v>
      </c>
      <c r="E17" s="5" t="s">
        <v>63</v>
      </c>
      <c r="F17" s="13" t="n">
        <v>0.18</v>
      </c>
      <c r="G17" s="4" t="s">
        <v>40</v>
      </c>
      <c r="H17" s="5" t="s">
        <v>64</v>
      </c>
    </row>
    <row r="18" customFormat="false" ht="23.85" hidden="false" customHeight="false" outlineLevel="0" collapsed="false">
      <c r="A18" s="7" t="s">
        <v>65</v>
      </c>
      <c r="B18" s="7" t="s">
        <v>11</v>
      </c>
      <c r="C18" s="8" t="s">
        <v>37</v>
      </c>
      <c r="D18" s="8" t="s">
        <v>66</v>
      </c>
      <c r="E18" s="8" t="s">
        <v>67</v>
      </c>
      <c r="F18" s="9" t="n">
        <v>0.09</v>
      </c>
      <c r="G18" s="7" t="s">
        <v>40</v>
      </c>
      <c r="H18" s="8" t="s">
        <v>68</v>
      </c>
    </row>
    <row r="19" customFormat="false" ht="35.05" hidden="false" customHeight="false" outlineLevel="0" collapsed="false">
      <c r="A19" s="4" t="s">
        <v>69</v>
      </c>
      <c r="B19" s="4" t="s">
        <v>11</v>
      </c>
      <c r="C19" s="5" t="s">
        <v>70</v>
      </c>
      <c r="D19" s="5" t="s">
        <v>71</v>
      </c>
      <c r="E19" s="5" t="s">
        <v>72</v>
      </c>
      <c r="F19" s="10" t="n">
        <v>0.03</v>
      </c>
      <c r="G19" s="4" t="s">
        <v>73</v>
      </c>
      <c r="H19" s="5" t="s">
        <v>24</v>
      </c>
    </row>
    <row r="20" customFormat="false" ht="35.05" hidden="false" customHeight="false" outlineLevel="0" collapsed="false">
      <c r="A20" s="7" t="s">
        <v>74</v>
      </c>
      <c r="B20" s="7" t="s">
        <v>11</v>
      </c>
      <c r="C20" s="8" t="s">
        <v>70</v>
      </c>
      <c r="D20" s="8" t="s">
        <v>75</v>
      </c>
      <c r="E20" s="8" t="s">
        <v>76</v>
      </c>
      <c r="F20" s="9" t="n">
        <v>0.05</v>
      </c>
      <c r="G20" s="7" t="s">
        <v>73</v>
      </c>
      <c r="H20" s="8" t="s">
        <v>20</v>
      </c>
    </row>
    <row r="21" customFormat="false" ht="35.05" hidden="false" customHeight="false" outlineLevel="0" collapsed="false">
      <c r="A21" s="4" t="s">
        <v>77</v>
      </c>
      <c r="B21" s="4" t="s">
        <v>11</v>
      </c>
      <c r="C21" s="5" t="s">
        <v>70</v>
      </c>
      <c r="D21" s="5" t="s">
        <v>78</v>
      </c>
      <c r="E21" s="5" t="s">
        <v>79</v>
      </c>
      <c r="F21" s="6" t="n">
        <v>0.08</v>
      </c>
      <c r="G21" s="4" t="s">
        <v>73</v>
      </c>
      <c r="H21" s="5" t="s">
        <v>16</v>
      </c>
    </row>
    <row r="22" customFormat="false" ht="35.05" hidden="false" customHeight="false" outlineLevel="0" collapsed="false">
      <c r="A22" s="7" t="s">
        <v>80</v>
      </c>
      <c r="B22" s="7" t="s">
        <v>11</v>
      </c>
      <c r="C22" s="8" t="s">
        <v>70</v>
      </c>
      <c r="D22" s="8" t="s">
        <v>81</v>
      </c>
      <c r="E22" s="8" t="s">
        <v>82</v>
      </c>
      <c r="F22" s="11" t="n">
        <v>0.04</v>
      </c>
      <c r="G22" s="7" t="s">
        <v>73</v>
      </c>
      <c r="H22" s="8" t="s">
        <v>28</v>
      </c>
    </row>
    <row r="23" customFormat="false" ht="35.05" hidden="false" customHeight="false" outlineLevel="0" collapsed="false">
      <c r="A23" s="4" t="s">
        <v>83</v>
      </c>
      <c r="B23" s="4" t="s">
        <v>11</v>
      </c>
      <c r="C23" s="5" t="s">
        <v>70</v>
      </c>
      <c r="D23" s="5" t="s">
        <v>84</v>
      </c>
      <c r="E23" s="5" t="s">
        <v>85</v>
      </c>
      <c r="F23" s="6" t="n">
        <v>0.06</v>
      </c>
      <c r="G23" s="4" t="s">
        <v>73</v>
      </c>
      <c r="H23" s="5" t="s">
        <v>60</v>
      </c>
    </row>
    <row r="24" customFormat="false" ht="35.05" hidden="false" customHeight="false" outlineLevel="0" collapsed="false">
      <c r="A24" s="7" t="s">
        <v>86</v>
      </c>
      <c r="B24" s="7" t="s">
        <v>11</v>
      </c>
      <c r="C24" s="8" t="s">
        <v>87</v>
      </c>
      <c r="D24" s="8" t="s">
        <v>88</v>
      </c>
      <c r="E24" s="8" t="s">
        <v>89</v>
      </c>
      <c r="F24" s="12" t="n">
        <v>0.18</v>
      </c>
      <c r="G24" s="7" t="s">
        <v>90</v>
      </c>
      <c r="H24" s="8" t="s">
        <v>64</v>
      </c>
    </row>
    <row r="25" customFormat="false" ht="23.85" hidden="false" customHeight="false" outlineLevel="0" collapsed="false">
      <c r="A25" s="4" t="s">
        <v>91</v>
      </c>
      <c r="B25" s="4" t="s">
        <v>11</v>
      </c>
      <c r="C25" s="5" t="s">
        <v>87</v>
      </c>
      <c r="D25" s="5" t="s">
        <v>92</v>
      </c>
      <c r="E25" s="5" t="s">
        <v>93</v>
      </c>
      <c r="F25" s="6" t="n">
        <v>0.14</v>
      </c>
      <c r="G25" s="4" t="s">
        <v>90</v>
      </c>
      <c r="H25" s="5" t="s">
        <v>94</v>
      </c>
    </row>
    <row r="26" customFormat="false" ht="35.05" hidden="false" customHeight="false" outlineLevel="0" collapsed="false">
      <c r="A26" s="7" t="s">
        <v>95</v>
      </c>
      <c r="B26" s="7" t="s">
        <v>11</v>
      </c>
      <c r="C26" s="8" t="s">
        <v>87</v>
      </c>
      <c r="D26" s="8" t="s">
        <v>96</v>
      </c>
      <c r="E26" s="8" t="s">
        <v>97</v>
      </c>
      <c r="F26" s="12" t="n">
        <v>0.22</v>
      </c>
      <c r="G26" s="7" t="s">
        <v>90</v>
      </c>
      <c r="H26" s="8" t="s">
        <v>98</v>
      </c>
    </row>
    <row r="27" customFormat="false" ht="35.05" hidden="false" customHeight="false" outlineLevel="0" collapsed="false">
      <c r="A27" s="4" t="s">
        <v>99</v>
      </c>
      <c r="B27" s="4" t="s">
        <v>11</v>
      </c>
      <c r="C27" s="5" t="s">
        <v>87</v>
      </c>
      <c r="D27" s="5" t="s">
        <v>100</v>
      </c>
      <c r="E27" s="5" t="s">
        <v>101</v>
      </c>
      <c r="F27" s="10" t="n">
        <v>0.04</v>
      </c>
      <c r="G27" s="4" t="s">
        <v>90</v>
      </c>
      <c r="H27" s="5" t="s">
        <v>28</v>
      </c>
    </row>
    <row r="28" customFormat="false" ht="35.05" hidden="false" customHeight="false" outlineLevel="0" collapsed="false">
      <c r="A28" s="7" t="s">
        <v>102</v>
      </c>
      <c r="B28" s="7" t="s">
        <v>11</v>
      </c>
      <c r="C28" s="8" t="s">
        <v>87</v>
      </c>
      <c r="D28" s="8" t="s">
        <v>103</v>
      </c>
      <c r="E28" s="8" t="s">
        <v>104</v>
      </c>
      <c r="F28" s="9" t="n">
        <v>0.12</v>
      </c>
      <c r="G28" s="7" t="s">
        <v>90</v>
      </c>
      <c r="H28" s="8" t="s">
        <v>41</v>
      </c>
    </row>
    <row r="29" customFormat="false" ht="35.05" hidden="false" customHeight="false" outlineLevel="0" collapsed="false">
      <c r="A29" s="4" t="s">
        <v>105</v>
      </c>
      <c r="B29" s="4" t="s">
        <v>11</v>
      </c>
      <c r="C29" s="5" t="s">
        <v>87</v>
      </c>
      <c r="D29" s="5" t="s">
        <v>106</v>
      </c>
      <c r="E29" s="5" t="s">
        <v>107</v>
      </c>
      <c r="F29" s="6" t="n">
        <v>0.08</v>
      </c>
      <c r="G29" s="4" t="s">
        <v>90</v>
      </c>
      <c r="H29" s="5" t="s">
        <v>16</v>
      </c>
    </row>
    <row r="30" customFormat="false" ht="35.05" hidden="false" customHeight="false" outlineLevel="0" collapsed="false">
      <c r="A30" s="7" t="s">
        <v>108</v>
      </c>
      <c r="B30" s="7" t="s">
        <v>11</v>
      </c>
      <c r="C30" s="8" t="s">
        <v>87</v>
      </c>
      <c r="D30" s="8" t="s">
        <v>109</v>
      </c>
      <c r="E30" s="8" t="s">
        <v>110</v>
      </c>
      <c r="F30" s="11" t="n">
        <v>0.03</v>
      </c>
      <c r="G30" s="7" t="s">
        <v>90</v>
      </c>
      <c r="H30" s="8" t="s">
        <v>24</v>
      </c>
    </row>
    <row r="31" customFormat="false" ht="35.05" hidden="false" customHeight="false" outlineLevel="0" collapsed="false">
      <c r="A31" s="4" t="s">
        <v>111</v>
      </c>
      <c r="B31" s="4" t="s">
        <v>11</v>
      </c>
      <c r="C31" s="5" t="s">
        <v>112</v>
      </c>
      <c r="D31" s="5" t="s">
        <v>113</v>
      </c>
      <c r="E31" s="5" t="s">
        <v>114</v>
      </c>
      <c r="F31" s="13" t="n">
        <v>0.25</v>
      </c>
      <c r="G31" s="4" t="s">
        <v>115</v>
      </c>
      <c r="H31" s="5" t="s">
        <v>116</v>
      </c>
    </row>
    <row r="32" customFormat="false" ht="23.85" hidden="false" customHeight="false" outlineLevel="0" collapsed="false">
      <c r="A32" s="7" t="s">
        <v>117</v>
      </c>
      <c r="B32" s="7" t="s">
        <v>11</v>
      </c>
      <c r="C32" s="8" t="s">
        <v>112</v>
      </c>
      <c r="D32" s="8" t="s">
        <v>118</v>
      </c>
      <c r="E32" s="8" t="s">
        <v>119</v>
      </c>
      <c r="F32" s="9" t="n">
        <v>0.08</v>
      </c>
      <c r="G32" s="7" t="s">
        <v>115</v>
      </c>
      <c r="H32" s="8" t="s">
        <v>16</v>
      </c>
    </row>
    <row r="33" customFormat="false" ht="35.05" hidden="false" customHeight="false" outlineLevel="0" collapsed="false">
      <c r="A33" s="4" t="s">
        <v>120</v>
      </c>
      <c r="B33" s="4" t="s">
        <v>11</v>
      </c>
      <c r="C33" s="5" t="s">
        <v>112</v>
      </c>
      <c r="D33" s="5" t="s">
        <v>121</v>
      </c>
      <c r="E33" s="5" t="s">
        <v>122</v>
      </c>
      <c r="F33" s="13" t="n">
        <v>0.2</v>
      </c>
      <c r="G33" s="4" t="s">
        <v>115</v>
      </c>
      <c r="H33" s="5" t="s">
        <v>123</v>
      </c>
    </row>
    <row r="34" customFormat="false" ht="35.05" hidden="false" customHeight="false" outlineLevel="0" collapsed="false">
      <c r="A34" s="7" t="s">
        <v>124</v>
      </c>
      <c r="B34" s="7" t="s">
        <v>11</v>
      </c>
      <c r="C34" s="8" t="s">
        <v>112</v>
      </c>
      <c r="D34" s="8" t="s">
        <v>125</v>
      </c>
      <c r="E34" s="8" t="s">
        <v>126</v>
      </c>
      <c r="F34" s="9" t="n">
        <v>0.12</v>
      </c>
      <c r="G34" s="7" t="s">
        <v>115</v>
      </c>
      <c r="H34" s="8" t="s">
        <v>41</v>
      </c>
    </row>
    <row r="35" customFormat="false" ht="35.05" hidden="false" customHeight="false" outlineLevel="0" collapsed="false">
      <c r="A35" s="4" t="s">
        <v>127</v>
      </c>
      <c r="B35" s="4" t="s">
        <v>11</v>
      </c>
      <c r="C35" s="5" t="s">
        <v>112</v>
      </c>
      <c r="D35" s="5" t="s">
        <v>128</v>
      </c>
      <c r="E35" s="5" t="s">
        <v>129</v>
      </c>
      <c r="F35" s="13" t="n">
        <v>0.15</v>
      </c>
      <c r="G35" s="4" t="s">
        <v>115</v>
      </c>
      <c r="H35" s="5" t="s">
        <v>52</v>
      </c>
    </row>
    <row r="36" customFormat="false" ht="35.05" hidden="false" customHeight="false" outlineLevel="0" collapsed="false">
      <c r="A36" s="7" t="s">
        <v>130</v>
      </c>
      <c r="B36" s="7" t="s">
        <v>11</v>
      </c>
      <c r="C36" s="8" t="s">
        <v>112</v>
      </c>
      <c r="D36" s="8" t="s">
        <v>131</v>
      </c>
      <c r="E36" s="8" t="s">
        <v>132</v>
      </c>
      <c r="F36" s="9" t="n">
        <v>0.1</v>
      </c>
      <c r="G36" s="7" t="s">
        <v>115</v>
      </c>
      <c r="H36" s="8" t="s">
        <v>48</v>
      </c>
    </row>
    <row r="37" customFormat="false" ht="35.05" hidden="false" customHeight="false" outlineLevel="0" collapsed="false">
      <c r="A37" s="4" t="s">
        <v>133</v>
      </c>
      <c r="B37" s="4" t="s">
        <v>11</v>
      </c>
      <c r="C37" s="5" t="s">
        <v>134</v>
      </c>
      <c r="D37" s="5" t="s">
        <v>135</v>
      </c>
      <c r="E37" s="5" t="s">
        <v>136</v>
      </c>
      <c r="F37" s="13" t="n">
        <v>0.15</v>
      </c>
      <c r="G37" s="4" t="s">
        <v>137</v>
      </c>
      <c r="H37" s="5" t="s">
        <v>52</v>
      </c>
    </row>
    <row r="38" customFormat="false" ht="35.05" hidden="false" customHeight="false" outlineLevel="0" collapsed="false">
      <c r="A38" s="7" t="s">
        <v>138</v>
      </c>
      <c r="B38" s="7" t="s">
        <v>11</v>
      </c>
      <c r="C38" s="8" t="s">
        <v>134</v>
      </c>
      <c r="D38" s="8" t="s">
        <v>139</v>
      </c>
      <c r="E38" s="8" t="s">
        <v>140</v>
      </c>
      <c r="F38" s="9" t="n">
        <v>0.12</v>
      </c>
      <c r="G38" s="7" t="s">
        <v>137</v>
      </c>
      <c r="H38" s="8" t="s">
        <v>41</v>
      </c>
    </row>
    <row r="39" customFormat="false" ht="35.05" hidden="false" customHeight="false" outlineLevel="0" collapsed="false">
      <c r="A39" s="4" t="s">
        <v>141</v>
      </c>
      <c r="B39" s="4" t="s">
        <v>11</v>
      </c>
      <c r="C39" s="5" t="s">
        <v>134</v>
      </c>
      <c r="D39" s="5" t="s">
        <v>142</v>
      </c>
      <c r="E39" s="5" t="s">
        <v>143</v>
      </c>
      <c r="F39" s="13" t="n">
        <v>0.18</v>
      </c>
      <c r="G39" s="4" t="s">
        <v>137</v>
      </c>
      <c r="H39" s="5" t="s">
        <v>64</v>
      </c>
    </row>
    <row r="40" customFormat="false" ht="35.05" hidden="false" customHeight="false" outlineLevel="0" collapsed="false">
      <c r="A40" s="7" t="s">
        <v>144</v>
      </c>
      <c r="B40" s="7" t="s">
        <v>11</v>
      </c>
      <c r="C40" s="8" t="s">
        <v>134</v>
      </c>
      <c r="D40" s="8" t="s">
        <v>145</v>
      </c>
      <c r="E40" s="8" t="s">
        <v>146</v>
      </c>
      <c r="F40" s="11" t="n">
        <v>0.03</v>
      </c>
      <c r="G40" s="7" t="s">
        <v>137</v>
      </c>
      <c r="H40" s="8" t="s">
        <v>24</v>
      </c>
    </row>
    <row r="41" customFormat="false" ht="46.25" hidden="false" customHeight="false" outlineLevel="0" collapsed="false">
      <c r="A41" s="4" t="s">
        <v>147</v>
      </c>
      <c r="B41" s="4" t="s">
        <v>11</v>
      </c>
      <c r="C41" s="5" t="s">
        <v>134</v>
      </c>
      <c r="D41" s="5" t="s">
        <v>148</v>
      </c>
      <c r="E41" s="5" t="s">
        <v>149</v>
      </c>
      <c r="F41" s="13" t="n">
        <v>0.2</v>
      </c>
      <c r="G41" s="4" t="s">
        <v>137</v>
      </c>
      <c r="H41" s="5" t="s">
        <v>123</v>
      </c>
    </row>
    <row r="42" customFormat="false" ht="35.05" hidden="false" customHeight="false" outlineLevel="0" collapsed="false">
      <c r="A42" s="7" t="s">
        <v>150</v>
      </c>
      <c r="B42" s="7" t="s">
        <v>11</v>
      </c>
      <c r="C42" s="8" t="s">
        <v>134</v>
      </c>
      <c r="D42" s="8" t="s">
        <v>151</v>
      </c>
      <c r="E42" s="8" t="s">
        <v>152</v>
      </c>
      <c r="F42" s="12" t="n">
        <v>0.25</v>
      </c>
      <c r="G42" s="7" t="s">
        <v>137</v>
      </c>
      <c r="H42" s="8" t="s">
        <v>116</v>
      </c>
    </row>
    <row r="43" customFormat="false" ht="35.05" hidden="false" customHeight="false" outlineLevel="0" collapsed="false">
      <c r="A43" s="4" t="s">
        <v>153</v>
      </c>
      <c r="B43" s="4" t="s">
        <v>11</v>
      </c>
      <c r="C43" s="5" t="s">
        <v>134</v>
      </c>
      <c r="D43" s="5" t="s">
        <v>154</v>
      </c>
      <c r="E43" s="5" t="s">
        <v>155</v>
      </c>
      <c r="F43" s="6" t="n">
        <v>0.1</v>
      </c>
      <c r="G43" s="4" t="s">
        <v>137</v>
      </c>
      <c r="H43" s="5" t="s">
        <v>48</v>
      </c>
    </row>
    <row r="44" customFormat="false" ht="35.05" hidden="false" customHeight="false" outlineLevel="0" collapsed="false">
      <c r="A44" s="7" t="s">
        <v>156</v>
      </c>
      <c r="B44" s="7" t="s">
        <v>11</v>
      </c>
      <c r="C44" s="8" t="s">
        <v>157</v>
      </c>
      <c r="D44" s="8" t="s">
        <v>158</v>
      </c>
      <c r="E44" s="8" t="s">
        <v>159</v>
      </c>
      <c r="F44" s="9" t="n">
        <v>0.08</v>
      </c>
      <c r="G44" s="7" t="s">
        <v>160</v>
      </c>
      <c r="H44" s="8" t="s">
        <v>16</v>
      </c>
    </row>
    <row r="45" customFormat="false" ht="35.05" hidden="false" customHeight="false" outlineLevel="0" collapsed="false">
      <c r="A45" s="4" t="s">
        <v>161</v>
      </c>
      <c r="B45" s="4" t="s">
        <v>11</v>
      </c>
      <c r="C45" s="5" t="s">
        <v>157</v>
      </c>
      <c r="D45" s="5" t="s">
        <v>162</v>
      </c>
      <c r="E45" s="5" t="s">
        <v>163</v>
      </c>
      <c r="F45" s="6" t="n">
        <v>0.12</v>
      </c>
      <c r="G45" s="4" t="s">
        <v>160</v>
      </c>
      <c r="H45" s="5" t="s">
        <v>41</v>
      </c>
    </row>
    <row r="46" customFormat="false" ht="35.05" hidden="false" customHeight="false" outlineLevel="0" collapsed="false">
      <c r="A46" s="7" t="s">
        <v>164</v>
      </c>
      <c r="B46" s="7" t="s">
        <v>11</v>
      </c>
      <c r="C46" s="8" t="s">
        <v>157</v>
      </c>
      <c r="D46" s="8" t="s">
        <v>165</v>
      </c>
      <c r="E46" s="8" t="s">
        <v>166</v>
      </c>
      <c r="F46" s="12" t="n">
        <v>0.18</v>
      </c>
      <c r="G46" s="7" t="s">
        <v>160</v>
      </c>
      <c r="H46" s="8" t="s">
        <v>64</v>
      </c>
    </row>
    <row r="47" customFormat="false" ht="35.05" hidden="false" customHeight="false" outlineLevel="0" collapsed="false">
      <c r="A47" s="4" t="s">
        <v>167</v>
      </c>
      <c r="B47" s="4" t="s">
        <v>11</v>
      </c>
      <c r="C47" s="5" t="s">
        <v>157</v>
      </c>
      <c r="D47" s="5" t="s">
        <v>168</v>
      </c>
      <c r="E47" s="5" t="s">
        <v>169</v>
      </c>
      <c r="F47" s="6" t="n">
        <v>0.06</v>
      </c>
      <c r="G47" s="4" t="s">
        <v>160</v>
      </c>
      <c r="H47" s="5" t="s">
        <v>60</v>
      </c>
    </row>
    <row r="48" customFormat="false" ht="35.05" hidden="false" customHeight="false" outlineLevel="0" collapsed="false">
      <c r="A48" s="7" t="s">
        <v>170</v>
      </c>
      <c r="B48" s="7" t="s">
        <v>11</v>
      </c>
      <c r="C48" s="8" t="s">
        <v>157</v>
      </c>
      <c r="D48" s="8" t="s">
        <v>171</v>
      </c>
      <c r="E48" s="8" t="s">
        <v>172</v>
      </c>
      <c r="F48" s="9" t="n">
        <v>0.1</v>
      </c>
      <c r="G48" s="7" t="s">
        <v>160</v>
      </c>
      <c r="H48" s="8" t="s">
        <v>48</v>
      </c>
    </row>
    <row r="49" customFormat="false" ht="35.05" hidden="false" customHeight="false" outlineLevel="0" collapsed="false">
      <c r="A49" s="4" t="s">
        <v>173</v>
      </c>
      <c r="B49" s="4" t="s">
        <v>11</v>
      </c>
      <c r="C49" s="5" t="s">
        <v>157</v>
      </c>
      <c r="D49" s="5" t="s">
        <v>174</v>
      </c>
      <c r="E49" s="5" t="s">
        <v>175</v>
      </c>
      <c r="F49" s="6" t="n">
        <v>0.07</v>
      </c>
      <c r="G49" s="4" t="s">
        <v>160</v>
      </c>
      <c r="H49" s="5" t="s">
        <v>56</v>
      </c>
    </row>
    <row r="50" customFormat="false" ht="35.05" hidden="false" customHeight="false" outlineLevel="0" collapsed="false">
      <c r="A50" s="7" t="s">
        <v>176</v>
      </c>
      <c r="B50" s="7" t="s">
        <v>11</v>
      </c>
      <c r="C50" s="8" t="s">
        <v>157</v>
      </c>
      <c r="D50" s="8" t="s">
        <v>177</v>
      </c>
      <c r="E50" s="8" t="s">
        <v>178</v>
      </c>
      <c r="F50" s="12" t="n">
        <v>0.22</v>
      </c>
      <c r="G50" s="7" t="s">
        <v>160</v>
      </c>
      <c r="H50" s="8" t="s">
        <v>98</v>
      </c>
    </row>
    <row r="51" customFormat="false" ht="35.05" hidden="false" customHeight="false" outlineLevel="0" collapsed="false">
      <c r="A51" s="4" t="s">
        <v>179</v>
      </c>
      <c r="B51" s="4" t="s">
        <v>11</v>
      </c>
      <c r="C51" s="5" t="s">
        <v>157</v>
      </c>
      <c r="D51" s="5" t="s">
        <v>180</v>
      </c>
      <c r="E51" s="5" t="s">
        <v>181</v>
      </c>
      <c r="F51" s="13" t="n">
        <v>0.2</v>
      </c>
      <c r="G51" s="4" t="s">
        <v>160</v>
      </c>
      <c r="H51" s="5" t="s">
        <v>123</v>
      </c>
    </row>
    <row r="52" customFormat="false" ht="23.85" hidden="false" customHeight="false" outlineLevel="0" collapsed="false">
      <c r="A52" s="7" t="s">
        <v>182</v>
      </c>
      <c r="B52" s="7" t="s">
        <v>183</v>
      </c>
      <c r="C52" s="8" t="s">
        <v>184</v>
      </c>
      <c r="D52" s="8" t="s">
        <v>185</v>
      </c>
      <c r="E52" s="8" t="s">
        <v>186</v>
      </c>
      <c r="F52" s="12" t="n">
        <v>0.18</v>
      </c>
      <c r="G52" s="7" t="s">
        <v>187</v>
      </c>
      <c r="H52" s="8" t="s">
        <v>64</v>
      </c>
    </row>
    <row r="53" customFormat="false" ht="23.85" hidden="false" customHeight="false" outlineLevel="0" collapsed="false">
      <c r="A53" s="4" t="s">
        <v>188</v>
      </c>
      <c r="B53" s="4" t="s">
        <v>183</v>
      </c>
      <c r="C53" s="5" t="s">
        <v>184</v>
      </c>
      <c r="D53" s="5" t="s">
        <v>189</v>
      </c>
      <c r="E53" s="5" t="s">
        <v>190</v>
      </c>
      <c r="F53" s="6" t="n">
        <v>0.08</v>
      </c>
      <c r="G53" s="4" t="s">
        <v>191</v>
      </c>
      <c r="H53" s="5" t="s">
        <v>16</v>
      </c>
    </row>
    <row r="54" customFormat="false" ht="23.85" hidden="false" customHeight="false" outlineLevel="0" collapsed="false">
      <c r="A54" s="7" t="s">
        <v>192</v>
      </c>
      <c r="B54" s="7" t="s">
        <v>183</v>
      </c>
      <c r="C54" s="8" t="s">
        <v>184</v>
      </c>
      <c r="D54" s="8" t="s">
        <v>193</v>
      </c>
      <c r="E54" s="8" t="s">
        <v>194</v>
      </c>
      <c r="F54" s="9" t="n">
        <v>0.12</v>
      </c>
      <c r="G54" s="7" t="s">
        <v>187</v>
      </c>
      <c r="H54" s="8" t="s">
        <v>41</v>
      </c>
    </row>
    <row r="55" customFormat="false" ht="23.85" hidden="false" customHeight="false" outlineLevel="0" collapsed="false">
      <c r="A55" s="4" t="s">
        <v>195</v>
      </c>
      <c r="B55" s="4" t="s">
        <v>183</v>
      </c>
      <c r="C55" s="5" t="s">
        <v>184</v>
      </c>
      <c r="D55" s="5" t="s">
        <v>196</v>
      </c>
      <c r="E55" s="5" t="s">
        <v>197</v>
      </c>
      <c r="F55" s="6" t="n">
        <v>0.06</v>
      </c>
      <c r="G55" s="4" t="s">
        <v>191</v>
      </c>
      <c r="H55" s="5" t="s">
        <v>60</v>
      </c>
    </row>
    <row r="56" customFormat="false" ht="23.85" hidden="false" customHeight="false" outlineLevel="0" collapsed="false">
      <c r="A56" s="7" t="s">
        <v>198</v>
      </c>
      <c r="B56" s="7" t="s">
        <v>183</v>
      </c>
      <c r="C56" s="8" t="s">
        <v>184</v>
      </c>
      <c r="D56" s="8" t="s">
        <v>199</v>
      </c>
      <c r="E56" s="8" t="s">
        <v>200</v>
      </c>
      <c r="F56" s="12" t="n">
        <v>0.15</v>
      </c>
      <c r="G56" s="7" t="s">
        <v>187</v>
      </c>
      <c r="H56" s="8" t="s">
        <v>52</v>
      </c>
    </row>
    <row r="57" customFormat="false" ht="23.85" hidden="false" customHeight="false" outlineLevel="0" collapsed="false">
      <c r="A57" s="4" t="s">
        <v>201</v>
      </c>
      <c r="B57" s="4" t="s">
        <v>183</v>
      </c>
      <c r="C57" s="5" t="s">
        <v>184</v>
      </c>
      <c r="D57" s="5" t="s">
        <v>202</v>
      </c>
      <c r="E57" s="5" t="s">
        <v>203</v>
      </c>
      <c r="F57" s="6" t="n">
        <v>0.1</v>
      </c>
      <c r="G57" s="4" t="s">
        <v>191</v>
      </c>
      <c r="H57" s="5" t="s">
        <v>48</v>
      </c>
    </row>
    <row r="58" customFormat="false" ht="23.85" hidden="false" customHeight="false" outlineLevel="0" collapsed="false">
      <c r="A58" s="7" t="s">
        <v>204</v>
      </c>
      <c r="B58" s="7" t="s">
        <v>183</v>
      </c>
      <c r="C58" s="8" t="s">
        <v>184</v>
      </c>
      <c r="D58" s="8" t="s">
        <v>205</v>
      </c>
      <c r="E58" s="8" t="s">
        <v>206</v>
      </c>
      <c r="F58" s="9" t="n">
        <v>0.14</v>
      </c>
      <c r="G58" s="7" t="s">
        <v>187</v>
      </c>
      <c r="H58" s="8" t="s">
        <v>94</v>
      </c>
    </row>
    <row r="59" customFormat="false" ht="23.85" hidden="false" customHeight="false" outlineLevel="0" collapsed="false">
      <c r="A59" s="4" t="s">
        <v>207</v>
      </c>
      <c r="B59" s="4" t="s">
        <v>183</v>
      </c>
      <c r="C59" s="5" t="s">
        <v>208</v>
      </c>
      <c r="D59" s="5" t="s">
        <v>209</v>
      </c>
      <c r="E59" s="5" t="s">
        <v>210</v>
      </c>
      <c r="F59" s="13" t="n">
        <v>0.16</v>
      </c>
      <c r="G59" s="4" t="s">
        <v>187</v>
      </c>
      <c r="H59" s="5" t="s">
        <v>211</v>
      </c>
    </row>
    <row r="60" customFormat="false" ht="23.85" hidden="false" customHeight="false" outlineLevel="0" collapsed="false">
      <c r="A60" s="7" t="s">
        <v>212</v>
      </c>
      <c r="B60" s="7" t="s">
        <v>183</v>
      </c>
      <c r="C60" s="8" t="s">
        <v>208</v>
      </c>
      <c r="D60" s="8" t="s">
        <v>213</v>
      </c>
      <c r="E60" s="8" t="s">
        <v>214</v>
      </c>
      <c r="F60" s="9" t="n">
        <v>0.12</v>
      </c>
      <c r="G60" s="7" t="s">
        <v>191</v>
      </c>
      <c r="H60" s="8" t="s">
        <v>41</v>
      </c>
    </row>
    <row r="61" customFormat="false" ht="23.85" hidden="false" customHeight="false" outlineLevel="0" collapsed="false">
      <c r="A61" s="4" t="s">
        <v>215</v>
      </c>
      <c r="B61" s="4" t="s">
        <v>183</v>
      </c>
      <c r="C61" s="5" t="s">
        <v>208</v>
      </c>
      <c r="D61" s="5" t="s">
        <v>216</v>
      </c>
      <c r="E61" s="5" t="s">
        <v>217</v>
      </c>
      <c r="F61" s="6" t="n">
        <v>0.05</v>
      </c>
      <c r="G61" s="4" t="s">
        <v>218</v>
      </c>
      <c r="H61" s="5" t="s">
        <v>20</v>
      </c>
    </row>
    <row r="62" customFormat="false" ht="23.85" hidden="false" customHeight="false" outlineLevel="0" collapsed="false">
      <c r="A62" s="7" t="s">
        <v>219</v>
      </c>
      <c r="B62" s="7" t="s">
        <v>183</v>
      </c>
      <c r="C62" s="8" t="s">
        <v>208</v>
      </c>
      <c r="D62" s="8" t="s">
        <v>220</v>
      </c>
      <c r="E62" s="8" t="s">
        <v>221</v>
      </c>
      <c r="F62" s="12" t="n">
        <v>0.18</v>
      </c>
      <c r="G62" s="7" t="s">
        <v>187</v>
      </c>
      <c r="H62" s="8" t="s">
        <v>64</v>
      </c>
    </row>
    <row r="63" customFormat="false" ht="23.85" hidden="false" customHeight="false" outlineLevel="0" collapsed="false">
      <c r="A63" s="4" t="s">
        <v>222</v>
      </c>
      <c r="B63" s="4" t="s">
        <v>183</v>
      </c>
      <c r="C63" s="5" t="s">
        <v>208</v>
      </c>
      <c r="D63" s="5" t="s">
        <v>223</v>
      </c>
      <c r="E63" s="5" t="s">
        <v>224</v>
      </c>
      <c r="F63" s="6" t="n">
        <v>0.1</v>
      </c>
      <c r="G63" s="4" t="s">
        <v>191</v>
      </c>
      <c r="H63" s="5" t="s">
        <v>48</v>
      </c>
    </row>
    <row r="64" customFormat="false" ht="23.85" hidden="false" customHeight="false" outlineLevel="0" collapsed="false">
      <c r="A64" s="7" t="s">
        <v>225</v>
      </c>
      <c r="B64" s="7" t="s">
        <v>183</v>
      </c>
      <c r="C64" s="8" t="s">
        <v>226</v>
      </c>
      <c r="D64" s="8" t="s">
        <v>227</v>
      </c>
      <c r="E64" s="8" t="s">
        <v>228</v>
      </c>
      <c r="F64" s="12" t="n">
        <v>0.25</v>
      </c>
      <c r="G64" s="7" t="s">
        <v>187</v>
      </c>
      <c r="H64" s="8" t="s">
        <v>116</v>
      </c>
    </row>
    <row r="65" customFormat="false" ht="23.85" hidden="false" customHeight="false" outlineLevel="0" collapsed="false">
      <c r="A65" s="4" t="s">
        <v>229</v>
      </c>
      <c r="B65" s="4" t="s">
        <v>183</v>
      </c>
      <c r="C65" s="5" t="s">
        <v>226</v>
      </c>
      <c r="D65" s="5" t="s">
        <v>230</v>
      </c>
      <c r="E65" s="5" t="s">
        <v>231</v>
      </c>
      <c r="F65" s="6" t="n">
        <v>0.14</v>
      </c>
      <c r="G65" s="4" t="s">
        <v>187</v>
      </c>
      <c r="H65" s="5" t="s">
        <v>94</v>
      </c>
    </row>
    <row r="66" customFormat="false" ht="23.85" hidden="false" customHeight="false" outlineLevel="0" collapsed="false">
      <c r="A66" s="7" t="s">
        <v>232</v>
      </c>
      <c r="B66" s="7" t="s">
        <v>183</v>
      </c>
      <c r="C66" s="8" t="s">
        <v>226</v>
      </c>
      <c r="D66" s="8" t="s">
        <v>233</v>
      </c>
      <c r="E66" s="8" t="s">
        <v>234</v>
      </c>
      <c r="F66" s="12" t="n">
        <v>0.2</v>
      </c>
      <c r="G66" s="7" t="s">
        <v>187</v>
      </c>
      <c r="H66" s="8" t="s">
        <v>123</v>
      </c>
    </row>
    <row r="67" customFormat="false" ht="23.85" hidden="false" customHeight="false" outlineLevel="0" collapsed="false">
      <c r="A67" s="4" t="s">
        <v>235</v>
      </c>
      <c r="B67" s="4" t="s">
        <v>183</v>
      </c>
      <c r="C67" s="5" t="s">
        <v>226</v>
      </c>
      <c r="D67" s="5" t="s">
        <v>236</v>
      </c>
      <c r="E67" s="5" t="s">
        <v>237</v>
      </c>
      <c r="F67" s="13" t="n">
        <v>0.22</v>
      </c>
      <c r="G67" s="4" t="s">
        <v>187</v>
      </c>
      <c r="H67" s="5" t="s">
        <v>98</v>
      </c>
    </row>
    <row r="68" customFormat="false" ht="23.85" hidden="false" customHeight="false" outlineLevel="0" collapsed="false">
      <c r="A68" s="7" t="s">
        <v>238</v>
      </c>
      <c r="B68" s="7" t="s">
        <v>183</v>
      </c>
      <c r="C68" s="8" t="s">
        <v>226</v>
      </c>
      <c r="D68" s="8" t="s">
        <v>239</v>
      </c>
      <c r="E68" s="8" t="s">
        <v>240</v>
      </c>
      <c r="F68" s="9" t="n">
        <v>0.08</v>
      </c>
      <c r="G68" s="7" t="s">
        <v>191</v>
      </c>
      <c r="H68" s="8" t="s">
        <v>16</v>
      </c>
    </row>
    <row r="69" customFormat="false" ht="23.85" hidden="false" customHeight="false" outlineLevel="0" collapsed="false">
      <c r="A69" s="4" t="s">
        <v>241</v>
      </c>
      <c r="B69" s="4" t="s">
        <v>183</v>
      </c>
      <c r="C69" s="5" t="s">
        <v>226</v>
      </c>
      <c r="D69" s="5" t="s">
        <v>242</v>
      </c>
      <c r="E69" s="5" t="s">
        <v>243</v>
      </c>
      <c r="F69" s="6" t="n">
        <v>0.12</v>
      </c>
      <c r="G69" s="4" t="s">
        <v>191</v>
      </c>
      <c r="H69" s="5" t="s">
        <v>41</v>
      </c>
    </row>
    <row r="70" customFormat="false" ht="23.85" hidden="false" customHeight="false" outlineLevel="0" collapsed="false">
      <c r="A70" s="7" t="s">
        <v>244</v>
      </c>
      <c r="B70" s="7" t="s">
        <v>183</v>
      </c>
      <c r="C70" s="8" t="s">
        <v>245</v>
      </c>
      <c r="D70" s="8" t="s">
        <v>246</v>
      </c>
      <c r="E70" s="8" t="s">
        <v>247</v>
      </c>
      <c r="F70" s="12" t="n">
        <v>0.2</v>
      </c>
      <c r="G70" s="7" t="s">
        <v>187</v>
      </c>
      <c r="H70" s="8" t="s">
        <v>123</v>
      </c>
    </row>
    <row r="71" customFormat="false" ht="23.85" hidden="false" customHeight="false" outlineLevel="0" collapsed="false">
      <c r="A71" s="4" t="s">
        <v>248</v>
      </c>
      <c r="B71" s="4" t="s">
        <v>183</v>
      </c>
      <c r="C71" s="5" t="s">
        <v>245</v>
      </c>
      <c r="D71" s="5" t="s">
        <v>249</v>
      </c>
      <c r="E71" s="5" t="s">
        <v>250</v>
      </c>
      <c r="F71" s="13" t="n">
        <v>0.16</v>
      </c>
      <c r="G71" s="4" t="s">
        <v>187</v>
      </c>
      <c r="H71" s="5" t="s">
        <v>211</v>
      </c>
    </row>
    <row r="72" customFormat="false" ht="23.85" hidden="false" customHeight="false" outlineLevel="0" collapsed="false">
      <c r="A72" s="7" t="s">
        <v>251</v>
      </c>
      <c r="B72" s="7" t="s">
        <v>183</v>
      </c>
      <c r="C72" s="8" t="s">
        <v>245</v>
      </c>
      <c r="D72" s="8" t="s">
        <v>252</v>
      </c>
      <c r="E72" s="8" t="s">
        <v>253</v>
      </c>
      <c r="F72" s="12" t="n">
        <v>0.18</v>
      </c>
      <c r="G72" s="7" t="s">
        <v>187</v>
      </c>
      <c r="H72" s="8" t="s">
        <v>64</v>
      </c>
    </row>
    <row r="73" customFormat="false" ht="23.85" hidden="false" customHeight="false" outlineLevel="0" collapsed="false">
      <c r="A73" s="4" t="s">
        <v>254</v>
      </c>
      <c r="B73" s="4" t="s">
        <v>183</v>
      </c>
      <c r="C73" s="5" t="s">
        <v>245</v>
      </c>
      <c r="D73" s="5" t="s">
        <v>255</v>
      </c>
      <c r="E73" s="5" t="s">
        <v>256</v>
      </c>
      <c r="F73" s="6" t="n">
        <v>0.14</v>
      </c>
      <c r="G73" s="4" t="s">
        <v>187</v>
      </c>
      <c r="H73" s="5" t="s">
        <v>94</v>
      </c>
    </row>
    <row r="74" customFormat="false" ht="23.85" hidden="false" customHeight="false" outlineLevel="0" collapsed="false">
      <c r="A74" s="7" t="s">
        <v>257</v>
      </c>
      <c r="B74" s="7" t="s">
        <v>183</v>
      </c>
      <c r="C74" s="8" t="s">
        <v>245</v>
      </c>
      <c r="D74" s="8" t="s">
        <v>258</v>
      </c>
      <c r="E74" s="8" t="s">
        <v>259</v>
      </c>
      <c r="F74" s="9" t="n">
        <v>0.12</v>
      </c>
      <c r="G74" s="7" t="s">
        <v>191</v>
      </c>
      <c r="H74" s="8" t="s">
        <v>41</v>
      </c>
    </row>
    <row r="75" customFormat="false" ht="23.85" hidden="false" customHeight="false" outlineLevel="0" collapsed="false">
      <c r="A75" s="4" t="s">
        <v>260</v>
      </c>
      <c r="B75" s="4" t="s">
        <v>183</v>
      </c>
      <c r="C75" s="5" t="s">
        <v>245</v>
      </c>
      <c r="D75" s="5" t="s">
        <v>261</v>
      </c>
      <c r="E75" s="5" t="s">
        <v>262</v>
      </c>
      <c r="F75" s="13" t="n">
        <v>0.16</v>
      </c>
      <c r="G75" s="4" t="s">
        <v>187</v>
      </c>
      <c r="H75" s="5" t="s">
        <v>211</v>
      </c>
    </row>
    <row r="76" customFormat="false" ht="23.85" hidden="false" customHeight="false" outlineLevel="0" collapsed="false">
      <c r="A76" s="7" t="s">
        <v>263</v>
      </c>
      <c r="B76" s="7" t="s">
        <v>183</v>
      </c>
      <c r="C76" s="8" t="s">
        <v>264</v>
      </c>
      <c r="D76" s="8" t="s">
        <v>265</v>
      </c>
      <c r="E76" s="8" t="s">
        <v>266</v>
      </c>
      <c r="F76" s="9" t="n">
        <v>0.1</v>
      </c>
      <c r="G76" s="7" t="s">
        <v>191</v>
      </c>
      <c r="H76" s="8" t="s">
        <v>48</v>
      </c>
    </row>
    <row r="77" customFormat="false" ht="23.85" hidden="false" customHeight="false" outlineLevel="0" collapsed="false">
      <c r="A77" s="4" t="s">
        <v>267</v>
      </c>
      <c r="B77" s="4" t="s">
        <v>183</v>
      </c>
      <c r="C77" s="5" t="s">
        <v>264</v>
      </c>
      <c r="D77" s="5" t="s">
        <v>268</v>
      </c>
      <c r="E77" s="5" t="s">
        <v>269</v>
      </c>
      <c r="F77" s="6" t="n">
        <v>0.08</v>
      </c>
      <c r="G77" s="4" t="s">
        <v>191</v>
      </c>
      <c r="H77" s="5" t="s">
        <v>16</v>
      </c>
    </row>
    <row r="78" customFormat="false" ht="23.85" hidden="false" customHeight="false" outlineLevel="0" collapsed="false">
      <c r="A78" s="7" t="s">
        <v>270</v>
      </c>
      <c r="B78" s="7" t="s">
        <v>183</v>
      </c>
      <c r="C78" s="8" t="s">
        <v>264</v>
      </c>
      <c r="D78" s="8" t="s">
        <v>271</v>
      </c>
      <c r="E78" s="8" t="s">
        <v>272</v>
      </c>
      <c r="F78" s="9" t="n">
        <v>0.12</v>
      </c>
      <c r="G78" s="7" t="s">
        <v>187</v>
      </c>
      <c r="H78" s="8" t="s">
        <v>41</v>
      </c>
    </row>
    <row r="79" customFormat="false" ht="23.85" hidden="false" customHeight="false" outlineLevel="0" collapsed="false">
      <c r="A79" s="4" t="s">
        <v>273</v>
      </c>
      <c r="B79" s="4" t="s">
        <v>183</v>
      </c>
      <c r="C79" s="5" t="s">
        <v>264</v>
      </c>
      <c r="D79" s="5" t="s">
        <v>274</v>
      </c>
      <c r="E79" s="5" t="s">
        <v>275</v>
      </c>
      <c r="F79" s="13" t="n">
        <v>0.16</v>
      </c>
      <c r="G79" s="4" t="s">
        <v>187</v>
      </c>
      <c r="H79" s="5" t="s">
        <v>211</v>
      </c>
    </row>
    <row r="80" customFormat="false" ht="23.85" hidden="false" customHeight="false" outlineLevel="0" collapsed="false">
      <c r="A80" s="7" t="s">
        <v>276</v>
      </c>
      <c r="B80" s="7" t="s">
        <v>183</v>
      </c>
      <c r="C80" s="8" t="s">
        <v>264</v>
      </c>
      <c r="D80" s="8" t="s">
        <v>277</v>
      </c>
      <c r="E80" s="8" t="s">
        <v>278</v>
      </c>
      <c r="F80" s="12" t="n">
        <v>0.2</v>
      </c>
      <c r="G80" s="7" t="s">
        <v>187</v>
      </c>
      <c r="H80" s="8" t="s">
        <v>123</v>
      </c>
    </row>
    <row r="81" customFormat="false" ht="23.85" hidden="false" customHeight="false" outlineLevel="0" collapsed="false">
      <c r="A81" s="4" t="s">
        <v>279</v>
      </c>
      <c r="B81" s="4" t="s">
        <v>183</v>
      </c>
      <c r="C81" s="5" t="s">
        <v>264</v>
      </c>
      <c r="D81" s="5" t="s">
        <v>280</v>
      </c>
      <c r="E81" s="5" t="s">
        <v>281</v>
      </c>
      <c r="F81" s="6" t="n">
        <v>0.08</v>
      </c>
      <c r="G81" s="4" t="s">
        <v>218</v>
      </c>
      <c r="H81" s="5" t="s">
        <v>16</v>
      </c>
    </row>
    <row r="82" customFormat="false" ht="23.85" hidden="false" customHeight="false" outlineLevel="0" collapsed="false">
      <c r="A82" s="7" t="s">
        <v>282</v>
      </c>
      <c r="B82" s="7" t="s">
        <v>183</v>
      </c>
      <c r="C82" s="8" t="s">
        <v>283</v>
      </c>
      <c r="D82" s="8" t="s">
        <v>284</v>
      </c>
      <c r="E82" s="8" t="s">
        <v>285</v>
      </c>
      <c r="F82" s="12" t="n">
        <v>0.28</v>
      </c>
      <c r="G82" s="7" t="s">
        <v>187</v>
      </c>
      <c r="H82" s="8" t="s">
        <v>286</v>
      </c>
    </row>
    <row r="83" customFormat="false" ht="23.85" hidden="false" customHeight="false" outlineLevel="0" collapsed="false">
      <c r="A83" s="4" t="s">
        <v>287</v>
      </c>
      <c r="B83" s="4" t="s">
        <v>183</v>
      </c>
      <c r="C83" s="5" t="s">
        <v>283</v>
      </c>
      <c r="D83" s="5" t="s">
        <v>288</v>
      </c>
      <c r="E83" s="5" t="s">
        <v>289</v>
      </c>
      <c r="F83" s="6" t="n">
        <v>0.06</v>
      </c>
      <c r="G83" s="4" t="s">
        <v>191</v>
      </c>
      <c r="H83" s="5" t="s">
        <v>60</v>
      </c>
    </row>
    <row r="84" customFormat="false" ht="23.85" hidden="false" customHeight="false" outlineLevel="0" collapsed="false">
      <c r="A84" s="7" t="s">
        <v>290</v>
      </c>
      <c r="B84" s="7" t="s">
        <v>183</v>
      </c>
      <c r="C84" s="8" t="s">
        <v>283</v>
      </c>
      <c r="D84" s="8" t="s">
        <v>291</v>
      </c>
      <c r="E84" s="8" t="s">
        <v>292</v>
      </c>
      <c r="F84" s="9" t="n">
        <v>0.1</v>
      </c>
      <c r="G84" s="7" t="s">
        <v>191</v>
      </c>
      <c r="H84" s="8" t="s">
        <v>48</v>
      </c>
    </row>
    <row r="85" customFormat="false" ht="23.85" hidden="false" customHeight="false" outlineLevel="0" collapsed="false">
      <c r="A85" s="4" t="s">
        <v>293</v>
      </c>
      <c r="B85" s="4" t="s">
        <v>183</v>
      </c>
      <c r="C85" s="5" t="s">
        <v>283</v>
      </c>
      <c r="D85" s="5" t="s">
        <v>294</v>
      </c>
      <c r="E85" s="5" t="s">
        <v>295</v>
      </c>
      <c r="F85" s="13" t="n">
        <v>0.18</v>
      </c>
      <c r="G85" s="4" t="s">
        <v>187</v>
      </c>
      <c r="H85" s="5" t="s">
        <v>64</v>
      </c>
    </row>
    <row r="86" customFormat="false" ht="23.85" hidden="false" customHeight="false" outlineLevel="0" collapsed="false">
      <c r="A86" s="7" t="s">
        <v>296</v>
      </c>
      <c r="B86" s="7" t="s">
        <v>183</v>
      </c>
      <c r="C86" s="8" t="s">
        <v>283</v>
      </c>
      <c r="D86" s="8" t="s">
        <v>297</v>
      </c>
      <c r="E86" s="8" t="s">
        <v>298</v>
      </c>
      <c r="F86" s="9" t="n">
        <v>0.08</v>
      </c>
      <c r="G86" s="7" t="s">
        <v>191</v>
      </c>
      <c r="H86" s="8" t="s">
        <v>16</v>
      </c>
    </row>
    <row r="87" customFormat="false" ht="23.85" hidden="false" customHeight="false" outlineLevel="0" collapsed="false">
      <c r="A87" s="4" t="s">
        <v>299</v>
      </c>
      <c r="B87" s="4" t="s">
        <v>183</v>
      </c>
      <c r="C87" s="5" t="s">
        <v>283</v>
      </c>
      <c r="D87" s="5" t="s">
        <v>300</v>
      </c>
      <c r="E87" s="5" t="s">
        <v>301</v>
      </c>
      <c r="F87" s="13" t="n">
        <v>0.22</v>
      </c>
      <c r="G87" s="4" t="s">
        <v>187</v>
      </c>
      <c r="H87" s="5" t="s">
        <v>98</v>
      </c>
    </row>
    <row r="88" customFormat="false" ht="23.85" hidden="false" customHeight="false" outlineLevel="0" collapsed="false">
      <c r="A88" s="7" t="s">
        <v>302</v>
      </c>
      <c r="B88" s="7" t="s">
        <v>183</v>
      </c>
      <c r="C88" s="8" t="s">
        <v>303</v>
      </c>
      <c r="D88" s="8" t="s">
        <v>304</v>
      </c>
      <c r="E88" s="8" t="s">
        <v>305</v>
      </c>
      <c r="F88" s="9" t="n">
        <v>0.07</v>
      </c>
      <c r="G88" s="7" t="s">
        <v>191</v>
      </c>
      <c r="H88" s="8" t="s">
        <v>56</v>
      </c>
    </row>
    <row r="89" customFormat="false" ht="23.85" hidden="false" customHeight="false" outlineLevel="0" collapsed="false">
      <c r="A89" s="4" t="s">
        <v>306</v>
      </c>
      <c r="B89" s="4" t="s">
        <v>183</v>
      </c>
      <c r="C89" s="5" t="s">
        <v>303</v>
      </c>
      <c r="D89" s="5" t="s">
        <v>307</v>
      </c>
      <c r="E89" s="5" t="s">
        <v>308</v>
      </c>
      <c r="F89" s="6" t="n">
        <v>0.12</v>
      </c>
      <c r="G89" s="4" t="s">
        <v>187</v>
      </c>
      <c r="H89" s="5" t="s">
        <v>41</v>
      </c>
    </row>
    <row r="90" customFormat="false" ht="23.85" hidden="false" customHeight="false" outlineLevel="0" collapsed="false">
      <c r="A90" s="7" t="s">
        <v>309</v>
      </c>
      <c r="B90" s="7" t="s">
        <v>183</v>
      </c>
      <c r="C90" s="8" t="s">
        <v>303</v>
      </c>
      <c r="D90" s="8" t="s">
        <v>310</v>
      </c>
      <c r="E90" s="8" t="s">
        <v>311</v>
      </c>
      <c r="F90" s="12" t="n">
        <v>0.16</v>
      </c>
      <c r="G90" s="7" t="s">
        <v>187</v>
      </c>
      <c r="H90" s="8" t="s">
        <v>211</v>
      </c>
    </row>
    <row r="91" customFormat="false" ht="23.85" hidden="false" customHeight="false" outlineLevel="0" collapsed="false">
      <c r="A91" s="4" t="s">
        <v>312</v>
      </c>
      <c r="B91" s="4" t="s">
        <v>183</v>
      </c>
      <c r="C91" s="5" t="s">
        <v>303</v>
      </c>
      <c r="D91" s="5" t="s">
        <v>313</v>
      </c>
      <c r="E91" s="5" t="s">
        <v>314</v>
      </c>
      <c r="F91" s="6" t="n">
        <v>0.14</v>
      </c>
      <c r="G91" s="4" t="s">
        <v>191</v>
      </c>
      <c r="H91" s="5" t="s">
        <v>94</v>
      </c>
    </row>
    <row r="92" customFormat="false" ht="23.85" hidden="false" customHeight="false" outlineLevel="0" collapsed="false">
      <c r="A92" s="7" t="s">
        <v>315</v>
      </c>
      <c r="B92" s="7" t="s">
        <v>183</v>
      </c>
      <c r="C92" s="8" t="s">
        <v>303</v>
      </c>
      <c r="D92" s="8" t="s">
        <v>316</v>
      </c>
      <c r="E92" s="8" t="s">
        <v>317</v>
      </c>
      <c r="F92" s="9" t="n">
        <v>0.1</v>
      </c>
      <c r="G92" s="7" t="s">
        <v>218</v>
      </c>
      <c r="H92" s="8" t="s">
        <v>48</v>
      </c>
    </row>
    <row r="93" customFormat="false" ht="46.25" hidden="false" customHeight="false" outlineLevel="0" collapsed="false">
      <c r="A93" s="4" t="s">
        <v>318</v>
      </c>
      <c r="B93" s="4" t="s">
        <v>319</v>
      </c>
      <c r="C93" s="5" t="s">
        <v>320</v>
      </c>
      <c r="D93" s="5" t="s">
        <v>321</v>
      </c>
      <c r="E93" s="5" t="s">
        <v>322</v>
      </c>
      <c r="F93" s="10" t="n">
        <v>0.0012</v>
      </c>
      <c r="G93" s="4" t="s">
        <v>187</v>
      </c>
      <c r="H93" s="5" t="s">
        <v>323</v>
      </c>
    </row>
    <row r="94" customFormat="false" ht="35.05" hidden="false" customHeight="false" outlineLevel="0" collapsed="false">
      <c r="A94" s="7" t="s">
        <v>324</v>
      </c>
      <c r="B94" s="7" t="s">
        <v>319</v>
      </c>
      <c r="C94" s="8" t="s">
        <v>320</v>
      </c>
      <c r="D94" s="8" t="s">
        <v>325</v>
      </c>
      <c r="E94" s="8" t="s">
        <v>326</v>
      </c>
      <c r="F94" s="11" t="n">
        <v>0.0035</v>
      </c>
      <c r="G94" s="7" t="s">
        <v>327</v>
      </c>
      <c r="H94" s="8" t="s">
        <v>328</v>
      </c>
    </row>
    <row r="95" customFormat="false" ht="35.05" hidden="false" customHeight="false" outlineLevel="0" collapsed="false">
      <c r="A95" s="4" t="s">
        <v>329</v>
      </c>
      <c r="B95" s="4" t="s">
        <v>319</v>
      </c>
      <c r="C95" s="5" t="s">
        <v>320</v>
      </c>
      <c r="D95" s="5" t="s">
        <v>330</v>
      </c>
      <c r="E95" s="5" t="s">
        <v>331</v>
      </c>
      <c r="F95" s="6" t="n">
        <v>0.065</v>
      </c>
      <c r="G95" s="4" t="s">
        <v>187</v>
      </c>
      <c r="H95" s="5" t="s">
        <v>332</v>
      </c>
    </row>
    <row r="96" customFormat="false" ht="57.45" hidden="false" customHeight="false" outlineLevel="0" collapsed="false">
      <c r="A96" s="7" t="s">
        <v>333</v>
      </c>
      <c r="B96" s="7" t="s">
        <v>319</v>
      </c>
      <c r="C96" s="8" t="s">
        <v>320</v>
      </c>
      <c r="D96" s="8" t="s">
        <v>334</v>
      </c>
      <c r="E96" s="8" t="s">
        <v>335</v>
      </c>
      <c r="F96" s="11" t="n">
        <v>0.028</v>
      </c>
      <c r="G96" s="7" t="s">
        <v>327</v>
      </c>
      <c r="H96" s="8" t="s">
        <v>336</v>
      </c>
    </row>
    <row r="97" customFormat="false" ht="35.05" hidden="false" customHeight="false" outlineLevel="0" collapsed="false">
      <c r="A97" s="4" t="s">
        <v>337</v>
      </c>
      <c r="B97" s="4" t="s">
        <v>319</v>
      </c>
      <c r="C97" s="5" t="s">
        <v>320</v>
      </c>
      <c r="D97" s="5" t="s">
        <v>338</v>
      </c>
      <c r="E97" s="5" t="s">
        <v>339</v>
      </c>
      <c r="F97" s="10" t="n">
        <v>0.015</v>
      </c>
      <c r="G97" s="4" t="s">
        <v>340</v>
      </c>
      <c r="H97" s="5" t="s">
        <v>341</v>
      </c>
    </row>
    <row r="98" customFormat="false" ht="35.05" hidden="false" customHeight="false" outlineLevel="0" collapsed="false">
      <c r="A98" s="7" t="s">
        <v>342</v>
      </c>
      <c r="B98" s="7" t="s">
        <v>319</v>
      </c>
      <c r="C98" s="8" t="s">
        <v>320</v>
      </c>
      <c r="D98" s="8" t="s">
        <v>343</v>
      </c>
      <c r="E98" s="8" t="s">
        <v>344</v>
      </c>
      <c r="F98" s="11" t="n">
        <v>0.032</v>
      </c>
      <c r="G98" s="7" t="s">
        <v>340</v>
      </c>
      <c r="H98" s="8" t="s">
        <v>345</v>
      </c>
    </row>
    <row r="99" customFormat="false" ht="57.45" hidden="false" customHeight="false" outlineLevel="0" collapsed="false">
      <c r="A99" s="4" t="s">
        <v>346</v>
      </c>
      <c r="B99" s="4" t="s">
        <v>319</v>
      </c>
      <c r="C99" s="5" t="s">
        <v>347</v>
      </c>
      <c r="D99" s="5" t="s">
        <v>348</v>
      </c>
      <c r="E99" s="5" t="s">
        <v>349</v>
      </c>
      <c r="F99" s="10" t="n">
        <v>0.012</v>
      </c>
      <c r="G99" s="4" t="s">
        <v>327</v>
      </c>
      <c r="H99" s="5" t="s">
        <v>350</v>
      </c>
    </row>
    <row r="100" customFormat="false" ht="46.25" hidden="false" customHeight="false" outlineLevel="0" collapsed="false">
      <c r="A100" s="7" t="s">
        <v>351</v>
      </c>
      <c r="B100" s="7" t="s">
        <v>319</v>
      </c>
      <c r="C100" s="8" t="s">
        <v>347</v>
      </c>
      <c r="D100" s="8" t="s">
        <v>352</v>
      </c>
      <c r="E100" s="8" t="s">
        <v>353</v>
      </c>
      <c r="F100" s="9" t="n">
        <v>0.085</v>
      </c>
      <c r="G100" s="7" t="s">
        <v>187</v>
      </c>
      <c r="H100" s="8" t="s">
        <v>354</v>
      </c>
    </row>
    <row r="101" customFormat="false" ht="46.25" hidden="false" customHeight="false" outlineLevel="0" collapsed="false">
      <c r="A101" s="4" t="s">
        <v>355</v>
      </c>
      <c r="B101" s="4" t="s">
        <v>319</v>
      </c>
      <c r="C101" s="5" t="s">
        <v>347</v>
      </c>
      <c r="D101" s="5" t="s">
        <v>356</v>
      </c>
      <c r="E101" s="5" t="s">
        <v>357</v>
      </c>
      <c r="F101" s="13" t="n">
        <v>0.18</v>
      </c>
      <c r="G101" s="4" t="s">
        <v>187</v>
      </c>
      <c r="H101" s="5" t="s">
        <v>358</v>
      </c>
    </row>
    <row r="102" customFormat="false" ht="46.25" hidden="false" customHeight="false" outlineLevel="0" collapsed="false">
      <c r="A102" s="7" t="s">
        <v>359</v>
      </c>
      <c r="B102" s="7" t="s">
        <v>319</v>
      </c>
      <c r="C102" s="8" t="s">
        <v>347</v>
      </c>
      <c r="D102" s="8" t="s">
        <v>360</v>
      </c>
      <c r="E102" s="8" t="s">
        <v>361</v>
      </c>
      <c r="F102" s="9" t="n">
        <v>0.12</v>
      </c>
      <c r="G102" s="7" t="s">
        <v>327</v>
      </c>
      <c r="H102" s="8" t="s">
        <v>362</v>
      </c>
    </row>
    <row r="103" customFormat="false" ht="68.65" hidden="false" customHeight="false" outlineLevel="0" collapsed="false">
      <c r="A103" s="4" t="s">
        <v>363</v>
      </c>
      <c r="B103" s="4" t="s">
        <v>319</v>
      </c>
      <c r="C103" s="5" t="s">
        <v>347</v>
      </c>
      <c r="D103" s="5" t="s">
        <v>364</v>
      </c>
      <c r="E103" s="5" t="s">
        <v>365</v>
      </c>
      <c r="F103" s="6" t="n">
        <v>0.065</v>
      </c>
      <c r="G103" s="4" t="s">
        <v>327</v>
      </c>
      <c r="H103" s="5" t="s">
        <v>366</v>
      </c>
    </row>
    <row r="104" customFormat="false" ht="46.25" hidden="false" customHeight="false" outlineLevel="0" collapsed="false">
      <c r="A104" s="7" t="s">
        <v>367</v>
      </c>
      <c r="B104" s="7" t="s">
        <v>319</v>
      </c>
      <c r="C104" s="8" t="s">
        <v>347</v>
      </c>
      <c r="D104" s="8" t="s">
        <v>368</v>
      </c>
      <c r="E104" s="8" t="s">
        <v>369</v>
      </c>
      <c r="F104" s="9" t="n">
        <v>0.09</v>
      </c>
      <c r="G104" s="7" t="s">
        <v>340</v>
      </c>
      <c r="H104" s="8" t="s">
        <v>370</v>
      </c>
    </row>
    <row r="105" customFormat="false" ht="35.05" hidden="false" customHeight="false" outlineLevel="0" collapsed="false">
      <c r="A105" s="4" t="s">
        <v>371</v>
      </c>
      <c r="B105" s="4" t="s">
        <v>319</v>
      </c>
      <c r="C105" s="5" t="s">
        <v>347</v>
      </c>
      <c r="D105" s="5" t="s">
        <v>372</v>
      </c>
      <c r="E105" s="5" t="s">
        <v>373</v>
      </c>
      <c r="F105" s="10" t="n">
        <v>0.035</v>
      </c>
      <c r="G105" s="4" t="s">
        <v>340</v>
      </c>
      <c r="H105" s="5" t="s">
        <v>374</v>
      </c>
    </row>
    <row r="106" customFormat="false" ht="57.45" hidden="false" customHeight="false" outlineLevel="0" collapsed="false">
      <c r="A106" s="7" t="s">
        <v>375</v>
      </c>
      <c r="B106" s="7" t="s">
        <v>319</v>
      </c>
      <c r="C106" s="8" t="s">
        <v>376</v>
      </c>
      <c r="D106" s="8" t="s">
        <v>377</v>
      </c>
      <c r="E106" s="8" t="s">
        <v>378</v>
      </c>
      <c r="F106" s="12" t="n">
        <v>0.15</v>
      </c>
      <c r="G106" s="7" t="s">
        <v>327</v>
      </c>
      <c r="H106" s="8" t="s">
        <v>379</v>
      </c>
    </row>
    <row r="107" customFormat="false" ht="46.25" hidden="false" customHeight="false" outlineLevel="0" collapsed="false">
      <c r="A107" s="4" t="s">
        <v>380</v>
      </c>
      <c r="B107" s="4" t="s">
        <v>319</v>
      </c>
      <c r="C107" s="5" t="s">
        <v>376</v>
      </c>
      <c r="D107" s="5" t="s">
        <v>381</v>
      </c>
      <c r="E107" s="5" t="s">
        <v>382</v>
      </c>
      <c r="F107" s="13" t="n">
        <v>0.2</v>
      </c>
      <c r="G107" s="4" t="s">
        <v>187</v>
      </c>
      <c r="H107" s="5" t="s">
        <v>383</v>
      </c>
    </row>
    <row r="108" customFormat="false" ht="35.05" hidden="false" customHeight="false" outlineLevel="0" collapsed="false">
      <c r="A108" s="7" t="s">
        <v>384</v>
      </c>
      <c r="B108" s="7" t="s">
        <v>319</v>
      </c>
      <c r="C108" s="8" t="s">
        <v>376</v>
      </c>
      <c r="D108" s="8" t="s">
        <v>385</v>
      </c>
      <c r="E108" s="8" t="s">
        <v>386</v>
      </c>
      <c r="F108" s="12" t="n">
        <v>0.25</v>
      </c>
      <c r="G108" s="7" t="s">
        <v>187</v>
      </c>
      <c r="H108" s="8" t="s">
        <v>387</v>
      </c>
    </row>
    <row r="109" customFormat="false" ht="35.05" hidden="false" customHeight="false" outlineLevel="0" collapsed="false">
      <c r="A109" s="4" t="s">
        <v>388</v>
      </c>
      <c r="B109" s="4" t="s">
        <v>319</v>
      </c>
      <c r="C109" s="5" t="s">
        <v>376</v>
      </c>
      <c r="D109" s="5" t="s">
        <v>389</v>
      </c>
      <c r="E109" s="5" t="s">
        <v>390</v>
      </c>
      <c r="F109" s="13" t="n">
        <v>0.18</v>
      </c>
      <c r="G109" s="4" t="s">
        <v>327</v>
      </c>
      <c r="H109" s="5" t="s">
        <v>391</v>
      </c>
    </row>
    <row r="110" customFormat="false" ht="35.05" hidden="false" customHeight="false" outlineLevel="0" collapsed="false">
      <c r="A110" s="7" t="s">
        <v>392</v>
      </c>
      <c r="B110" s="7" t="s">
        <v>319</v>
      </c>
      <c r="C110" s="8" t="s">
        <v>376</v>
      </c>
      <c r="D110" s="8" t="s">
        <v>393</v>
      </c>
      <c r="E110" s="8" t="s">
        <v>394</v>
      </c>
      <c r="F110" s="12" t="n">
        <v>0.22</v>
      </c>
      <c r="G110" s="7" t="s">
        <v>187</v>
      </c>
      <c r="H110" s="8" t="s">
        <v>395</v>
      </c>
    </row>
    <row r="111" customFormat="false" ht="46.25" hidden="false" customHeight="false" outlineLevel="0" collapsed="false">
      <c r="A111" s="4" t="s">
        <v>396</v>
      </c>
      <c r="B111" s="4" t="s">
        <v>319</v>
      </c>
      <c r="C111" s="5" t="s">
        <v>376</v>
      </c>
      <c r="D111" s="5" t="s">
        <v>397</v>
      </c>
      <c r="E111" s="5" t="s">
        <v>398</v>
      </c>
      <c r="F111" s="6" t="n">
        <v>0.14</v>
      </c>
      <c r="G111" s="4" t="s">
        <v>327</v>
      </c>
      <c r="H111" s="5" t="s">
        <v>399</v>
      </c>
    </row>
    <row r="112" customFormat="false" ht="46.25" hidden="false" customHeight="false" outlineLevel="0" collapsed="false">
      <c r="A112" s="7" t="s">
        <v>400</v>
      </c>
      <c r="B112" s="7" t="s">
        <v>319</v>
      </c>
      <c r="C112" s="8" t="s">
        <v>376</v>
      </c>
      <c r="D112" s="8" t="s">
        <v>401</v>
      </c>
      <c r="E112" s="8" t="s">
        <v>402</v>
      </c>
      <c r="F112" s="12" t="n">
        <v>0.16</v>
      </c>
      <c r="G112" s="7" t="s">
        <v>327</v>
      </c>
      <c r="H112" s="8" t="s">
        <v>403</v>
      </c>
    </row>
    <row r="113" customFormat="false" ht="35.05" hidden="false" customHeight="false" outlineLevel="0" collapsed="false">
      <c r="A113" s="4" t="s">
        <v>404</v>
      </c>
      <c r="B113" s="4" t="s">
        <v>319</v>
      </c>
      <c r="C113" s="5" t="s">
        <v>376</v>
      </c>
      <c r="D113" s="5" t="s">
        <v>405</v>
      </c>
      <c r="E113" s="5" t="s">
        <v>406</v>
      </c>
      <c r="F113" s="13" t="n">
        <v>0.18</v>
      </c>
      <c r="G113" s="4" t="s">
        <v>327</v>
      </c>
      <c r="H113" s="5" t="s">
        <v>407</v>
      </c>
    </row>
    <row r="114" customFormat="false" ht="46.25" hidden="false" customHeight="false" outlineLevel="0" collapsed="false">
      <c r="A114" s="7" t="s">
        <v>408</v>
      </c>
      <c r="B114" s="7" t="s">
        <v>319</v>
      </c>
      <c r="C114" s="8" t="s">
        <v>409</v>
      </c>
      <c r="D114" s="8" t="s">
        <v>410</v>
      </c>
      <c r="E114" s="8" t="s">
        <v>411</v>
      </c>
      <c r="F114" s="12" t="n">
        <v>0.28</v>
      </c>
      <c r="G114" s="7" t="s">
        <v>187</v>
      </c>
      <c r="H114" s="8" t="s">
        <v>412</v>
      </c>
    </row>
    <row r="115" customFormat="false" ht="46.25" hidden="false" customHeight="false" outlineLevel="0" collapsed="false">
      <c r="A115" s="4" t="s">
        <v>413</v>
      </c>
      <c r="B115" s="4" t="s">
        <v>319</v>
      </c>
      <c r="C115" s="5" t="s">
        <v>409</v>
      </c>
      <c r="D115" s="5" t="s">
        <v>414</v>
      </c>
      <c r="E115" s="5" t="s">
        <v>415</v>
      </c>
      <c r="F115" s="6" t="n">
        <v>0.12</v>
      </c>
      <c r="G115" s="4" t="s">
        <v>327</v>
      </c>
      <c r="H115" s="5" t="s">
        <v>416</v>
      </c>
    </row>
    <row r="116" customFormat="false" ht="35.05" hidden="false" customHeight="false" outlineLevel="0" collapsed="false">
      <c r="A116" s="7" t="s">
        <v>417</v>
      </c>
      <c r="B116" s="7" t="s">
        <v>319</v>
      </c>
      <c r="C116" s="8" t="s">
        <v>409</v>
      </c>
      <c r="D116" s="8" t="s">
        <v>418</v>
      </c>
      <c r="E116" s="8" t="s">
        <v>419</v>
      </c>
      <c r="F116" s="9" t="n">
        <v>0.09</v>
      </c>
      <c r="G116" s="7" t="s">
        <v>340</v>
      </c>
      <c r="H116" s="8" t="s">
        <v>420</v>
      </c>
    </row>
    <row r="117" customFormat="false" ht="46.25" hidden="false" customHeight="false" outlineLevel="0" collapsed="false">
      <c r="A117" s="4" t="s">
        <v>421</v>
      </c>
      <c r="B117" s="4" t="s">
        <v>319</v>
      </c>
      <c r="C117" s="5" t="s">
        <v>409</v>
      </c>
      <c r="D117" s="5" t="s">
        <v>422</v>
      </c>
      <c r="E117" s="5" t="s">
        <v>423</v>
      </c>
      <c r="F117" s="13" t="n">
        <v>0.15</v>
      </c>
      <c r="G117" s="4" t="s">
        <v>187</v>
      </c>
      <c r="H117" s="5" t="s">
        <v>424</v>
      </c>
    </row>
    <row r="118" customFormat="false" ht="46.25" hidden="false" customHeight="false" outlineLevel="0" collapsed="false">
      <c r="A118" s="7" t="s">
        <v>425</v>
      </c>
      <c r="B118" s="7" t="s">
        <v>319</v>
      </c>
      <c r="C118" s="8" t="s">
        <v>409</v>
      </c>
      <c r="D118" s="8" t="s">
        <v>426</v>
      </c>
      <c r="E118" s="8" t="s">
        <v>427</v>
      </c>
      <c r="F118" s="12" t="n">
        <v>0.18</v>
      </c>
      <c r="G118" s="7" t="s">
        <v>187</v>
      </c>
      <c r="H118" s="8" t="s">
        <v>428</v>
      </c>
    </row>
    <row r="119" customFormat="false" ht="46.25" hidden="false" customHeight="false" outlineLevel="0" collapsed="false">
      <c r="A119" s="4" t="s">
        <v>429</v>
      </c>
      <c r="B119" s="4" t="s">
        <v>319</v>
      </c>
      <c r="C119" s="5" t="s">
        <v>409</v>
      </c>
      <c r="D119" s="5" t="s">
        <v>430</v>
      </c>
      <c r="E119" s="5" t="s">
        <v>431</v>
      </c>
      <c r="F119" s="13" t="n">
        <v>0.16</v>
      </c>
      <c r="G119" s="4" t="s">
        <v>187</v>
      </c>
      <c r="H119" s="5" t="s">
        <v>432</v>
      </c>
    </row>
    <row r="120" customFormat="false" ht="57.45" hidden="false" customHeight="false" outlineLevel="0" collapsed="false">
      <c r="A120" s="7" t="s">
        <v>433</v>
      </c>
      <c r="B120" s="7" t="s">
        <v>319</v>
      </c>
      <c r="C120" s="8" t="s">
        <v>434</v>
      </c>
      <c r="D120" s="8" t="s">
        <v>435</v>
      </c>
      <c r="E120" s="8" t="s">
        <v>436</v>
      </c>
      <c r="F120" s="11" t="n">
        <v>0.035</v>
      </c>
      <c r="G120" s="7" t="s">
        <v>187</v>
      </c>
      <c r="H120" s="8" t="s">
        <v>437</v>
      </c>
    </row>
    <row r="121" customFormat="false" ht="57.45" hidden="false" customHeight="false" outlineLevel="0" collapsed="false">
      <c r="A121" s="4" t="s">
        <v>438</v>
      </c>
      <c r="B121" s="4" t="s">
        <v>319</v>
      </c>
      <c r="C121" s="5" t="s">
        <v>434</v>
      </c>
      <c r="D121" s="5" t="s">
        <v>439</v>
      </c>
      <c r="E121" s="5" t="s">
        <v>440</v>
      </c>
      <c r="F121" s="6" t="n">
        <v>0.06</v>
      </c>
      <c r="G121" s="4" t="s">
        <v>327</v>
      </c>
      <c r="H121" s="5" t="s">
        <v>441</v>
      </c>
    </row>
    <row r="122" customFormat="false" ht="57.45" hidden="false" customHeight="false" outlineLevel="0" collapsed="false">
      <c r="A122" s="7" t="s">
        <v>442</v>
      </c>
      <c r="B122" s="7" t="s">
        <v>319</v>
      </c>
      <c r="C122" s="8" t="s">
        <v>434</v>
      </c>
      <c r="D122" s="8" t="s">
        <v>443</v>
      </c>
      <c r="E122" s="8" t="s">
        <v>444</v>
      </c>
      <c r="F122" s="9" t="n">
        <v>0.08</v>
      </c>
      <c r="G122" s="7" t="s">
        <v>327</v>
      </c>
      <c r="H122" s="8" t="s">
        <v>445</v>
      </c>
    </row>
    <row r="123" customFormat="false" ht="46.25" hidden="false" customHeight="false" outlineLevel="0" collapsed="false">
      <c r="A123" s="4" t="s">
        <v>446</v>
      </c>
      <c r="B123" s="4" t="s">
        <v>319</v>
      </c>
      <c r="C123" s="5" t="s">
        <v>434</v>
      </c>
      <c r="D123" s="5" t="s">
        <v>447</v>
      </c>
      <c r="E123" s="5" t="s">
        <v>448</v>
      </c>
      <c r="F123" s="10" t="n">
        <v>0.02</v>
      </c>
      <c r="G123" s="4" t="s">
        <v>327</v>
      </c>
      <c r="H123" s="5" t="s">
        <v>449</v>
      </c>
    </row>
    <row r="124" customFormat="false" ht="46.25" hidden="false" customHeight="false" outlineLevel="0" collapsed="false">
      <c r="A124" s="7" t="s">
        <v>450</v>
      </c>
      <c r="B124" s="7" t="s">
        <v>319</v>
      </c>
      <c r="C124" s="8" t="s">
        <v>434</v>
      </c>
      <c r="D124" s="8" t="s">
        <v>451</v>
      </c>
      <c r="E124" s="8" t="s">
        <v>452</v>
      </c>
      <c r="F124" s="11" t="n">
        <v>0.045</v>
      </c>
      <c r="G124" s="7" t="s">
        <v>327</v>
      </c>
      <c r="H124" s="8" t="s">
        <v>453</v>
      </c>
    </row>
    <row r="125" customFormat="false" ht="46.25" hidden="false" customHeight="false" outlineLevel="0" collapsed="false">
      <c r="A125" s="4" t="s">
        <v>454</v>
      </c>
      <c r="B125" s="4" t="s">
        <v>319</v>
      </c>
      <c r="C125" s="5" t="s">
        <v>455</v>
      </c>
      <c r="D125" s="5" t="s">
        <v>456</v>
      </c>
      <c r="E125" s="5" t="s">
        <v>457</v>
      </c>
      <c r="F125" s="6" t="n">
        <v>0.05</v>
      </c>
      <c r="G125" s="4" t="s">
        <v>187</v>
      </c>
      <c r="H125" s="5" t="s">
        <v>458</v>
      </c>
    </row>
    <row r="126" customFormat="false" ht="46.25" hidden="false" customHeight="false" outlineLevel="0" collapsed="false">
      <c r="A126" s="7" t="s">
        <v>459</v>
      </c>
      <c r="B126" s="7" t="s">
        <v>319</v>
      </c>
      <c r="C126" s="8" t="s">
        <v>455</v>
      </c>
      <c r="D126" s="8" t="s">
        <v>460</v>
      </c>
      <c r="E126" s="8" t="s">
        <v>461</v>
      </c>
      <c r="F126" s="12" t="n">
        <v>0.22</v>
      </c>
      <c r="G126" s="7" t="s">
        <v>187</v>
      </c>
      <c r="H126" s="8" t="s">
        <v>462</v>
      </c>
    </row>
    <row r="127" customFormat="false" ht="46.25" hidden="false" customHeight="false" outlineLevel="0" collapsed="false">
      <c r="A127" s="4" t="s">
        <v>463</v>
      </c>
      <c r="B127" s="4" t="s">
        <v>319</v>
      </c>
      <c r="C127" s="5" t="s">
        <v>455</v>
      </c>
      <c r="D127" s="5" t="s">
        <v>464</v>
      </c>
      <c r="E127" s="5" t="s">
        <v>465</v>
      </c>
      <c r="F127" s="6" t="n">
        <v>0.14</v>
      </c>
      <c r="G127" s="4" t="s">
        <v>187</v>
      </c>
      <c r="H127" s="5" t="s">
        <v>466</v>
      </c>
    </row>
    <row r="128" customFormat="false" ht="46.25" hidden="false" customHeight="false" outlineLevel="0" collapsed="false">
      <c r="A128" s="7" t="s">
        <v>467</v>
      </c>
      <c r="B128" s="7" t="s">
        <v>319</v>
      </c>
      <c r="C128" s="8" t="s">
        <v>455</v>
      </c>
      <c r="D128" s="8" t="s">
        <v>468</v>
      </c>
      <c r="E128" s="8" t="s">
        <v>469</v>
      </c>
      <c r="F128" s="9" t="n">
        <v>0.08</v>
      </c>
      <c r="G128" s="7" t="s">
        <v>187</v>
      </c>
      <c r="H128" s="8" t="s">
        <v>470</v>
      </c>
    </row>
    <row r="129" customFormat="false" ht="57.45" hidden="false" customHeight="false" outlineLevel="0" collapsed="false">
      <c r="A129" s="4" t="s">
        <v>471</v>
      </c>
      <c r="B129" s="4" t="s">
        <v>319</v>
      </c>
      <c r="C129" s="5" t="s">
        <v>455</v>
      </c>
      <c r="D129" s="5" t="s">
        <v>472</v>
      </c>
      <c r="E129" s="5" t="s">
        <v>473</v>
      </c>
      <c r="F129" s="10" t="n">
        <v>0.03</v>
      </c>
      <c r="G129" s="4" t="s">
        <v>327</v>
      </c>
      <c r="H129" s="5" t="s">
        <v>474</v>
      </c>
    </row>
    <row r="130" customFormat="false" ht="57.45" hidden="false" customHeight="false" outlineLevel="0" collapsed="false">
      <c r="A130" s="7" t="s">
        <v>475</v>
      </c>
      <c r="B130" s="7" t="s">
        <v>319</v>
      </c>
      <c r="C130" s="8" t="s">
        <v>455</v>
      </c>
      <c r="D130" s="8" t="s">
        <v>476</v>
      </c>
      <c r="E130" s="8" t="s">
        <v>477</v>
      </c>
      <c r="F130" s="9" t="n">
        <v>0.07</v>
      </c>
      <c r="G130" s="7" t="s">
        <v>327</v>
      </c>
      <c r="H130" s="8" t="s">
        <v>478</v>
      </c>
    </row>
    <row r="131" customFormat="false" ht="46.25" hidden="false" customHeight="false" outlineLevel="0" collapsed="false">
      <c r="A131" s="4" t="s">
        <v>479</v>
      </c>
      <c r="B131" s="4" t="s">
        <v>319</v>
      </c>
      <c r="C131" s="5" t="s">
        <v>455</v>
      </c>
      <c r="D131" s="5" t="s">
        <v>480</v>
      </c>
      <c r="E131" s="5" t="s">
        <v>481</v>
      </c>
      <c r="F131" s="6" t="n">
        <v>0.11</v>
      </c>
      <c r="G131" s="4" t="s">
        <v>327</v>
      </c>
      <c r="H131" s="5" t="s">
        <v>482</v>
      </c>
    </row>
    <row r="132" customFormat="false" ht="46.25" hidden="false" customHeight="false" outlineLevel="0" collapsed="false">
      <c r="A132" s="7" t="s">
        <v>483</v>
      </c>
      <c r="B132" s="7" t="s">
        <v>319</v>
      </c>
      <c r="C132" s="8" t="s">
        <v>484</v>
      </c>
      <c r="D132" s="8" t="s">
        <v>485</v>
      </c>
      <c r="E132" s="8" t="s">
        <v>486</v>
      </c>
      <c r="F132" s="12" t="n">
        <v>0.35</v>
      </c>
      <c r="G132" s="7" t="s">
        <v>187</v>
      </c>
      <c r="H132" s="8" t="s">
        <v>487</v>
      </c>
    </row>
    <row r="133" customFormat="false" ht="46.25" hidden="false" customHeight="false" outlineLevel="0" collapsed="false">
      <c r="A133" s="4" t="s">
        <v>488</v>
      </c>
      <c r="B133" s="4" t="s">
        <v>319</v>
      </c>
      <c r="C133" s="5" t="s">
        <v>484</v>
      </c>
      <c r="D133" s="5" t="s">
        <v>489</v>
      </c>
      <c r="E133" s="5" t="s">
        <v>490</v>
      </c>
      <c r="F133" s="13" t="n">
        <v>0.18</v>
      </c>
      <c r="G133" s="4" t="s">
        <v>187</v>
      </c>
      <c r="H133" s="5" t="s">
        <v>491</v>
      </c>
    </row>
    <row r="134" customFormat="false" ht="46.25" hidden="false" customHeight="false" outlineLevel="0" collapsed="false">
      <c r="A134" s="7" t="s">
        <v>492</v>
      </c>
      <c r="B134" s="7" t="s">
        <v>319</v>
      </c>
      <c r="C134" s="8" t="s">
        <v>484</v>
      </c>
      <c r="D134" s="8" t="s">
        <v>493</v>
      </c>
      <c r="E134" s="8" t="s">
        <v>494</v>
      </c>
      <c r="F134" s="9" t="n">
        <v>0.12</v>
      </c>
      <c r="G134" s="7" t="s">
        <v>187</v>
      </c>
      <c r="H134" s="8" t="s">
        <v>495</v>
      </c>
    </row>
    <row r="135" customFormat="false" ht="46.25" hidden="false" customHeight="false" outlineLevel="0" collapsed="false">
      <c r="A135" s="4" t="s">
        <v>496</v>
      </c>
      <c r="B135" s="4" t="s">
        <v>319</v>
      </c>
      <c r="C135" s="5" t="s">
        <v>484</v>
      </c>
      <c r="D135" s="5" t="s">
        <v>497</v>
      </c>
      <c r="E135" s="5" t="s">
        <v>498</v>
      </c>
      <c r="F135" s="13" t="n">
        <v>0.25</v>
      </c>
      <c r="G135" s="4" t="s">
        <v>187</v>
      </c>
      <c r="H135" s="5" t="s">
        <v>499</v>
      </c>
    </row>
    <row r="136" customFormat="false" ht="46.25" hidden="false" customHeight="false" outlineLevel="0" collapsed="false">
      <c r="A136" s="7" t="s">
        <v>500</v>
      </c>
      <c r="B136" s="7" t="s">
        <v>319</v>
      </c>
      <c r="C136" s="8" t="s">
        <v>484</v>
      </c>
      <c r="D136" s="8" t="s">
        <v>501</v>
      </c>
      <c r="E136" s="8" t="s">
        <v>502</v>
      </c>
      <c r="F136" s="9" t="n">
        <v>0.1</v>
      </c>
      <c r="G136" s="7" t="s">
        <v>327</v>
      </c>
      <c r="H136" s="8" t="s">
        <v>503</v>
      </c>
    </row>
    <row r="137" customFormat="false" ht="46.25" hidden="false" customHeight="false" outlineLevel="0" collapsed="false">
      <c r="A137" s="4" t="s">
        <v>504</v>
      </c>
      <c r="B137" s="4" t="s">
        <v>505</v>
      </c>
      <c r="C137" s="5" t="s">
        <v>506</v>
      </c>
      <c r="D137" s="5" t="s">
        <v>507</v>
      </c>
      <c r="E137" s="5" t="s">
        <v>508</v>
      </c>
      <c r="F137" s="6" t="n">
        <v>0.12</v>
      </c>
      <c r="G137" s="4" t="s">
        <v>187</v>
      </c>
      <c r="H137" s="5" t="s">
        <v>509</v>
      </c>
    </row>
    <row r="138" customFormat="false" ht="46.25" hidden="false" customHeight="false" outlineLevel="0" collapsed="false">
      <c r="A138" s="7" t="s">
        <v>510</v>
      </c>
      <c r="B138" s="7" t="s">
        <v>505</v>
      </c>
      <c r="C138" s="8" t="s">
        <v>506</v>
      </c>
      <c r="D138" s="8" t="s">
        <v>511</v>
      </c>
      <c r="E138" s="8" t="s">
        <v>512</v>
      </c>
      <c r="F138" s="12" t="n">
        <v>0.18</v>
      </c>
      <c r="G138" s="7" t="s">
        <v>187</v>
      </c>
      <c r="H138" s="8" t="s">
        <v>509</v>
      </c>
    </row>
    <row r="139" customFormat="false" ht="35.05" hidden="false" customHeight="false" outlineLevel="0" collapsed="false">
      <c r="A139" s="4" t="s">
        <v>513</v>
      </c>
      <c r="B139" s="4" t="s">
        <v>505</v>
      </c>
      <c r="C139" s="5" t="s">
        <v>506</v>
      </c>
      <c r="D139" s="5" t="s">
        <v>514</v>
      </c>
      <c r="E139" s="5" t="s">
        <v>515</v>
      </c>
      <c r="F139" s="6" t="n">
        <v>0.06</v>
      </c>
      <c r="G139" s="4" t="s">
        <v>327</v>
      </c>
      <c r="H139" s="5" t="s">
        <v>509</v>
      </c>
    </row>
    <row r="140" customFormat="false" ht="35.05" hidden="false" customHeight="false" outlineLevel="0" collapsed="false">
      <c r="A140" s="7" t="s">
        <v>516</v>
      </c>
      <c r="B140" s="7" t="s">
        <v>505</v>
      </c>
      <c r="C140" s="8" t="s">
        <v>506</v>
      </c>
      <c r="D140" s="8" t="s">
        <v>517</v>
      </c>
      <c r="E140" s="8" t="s">
        <v>518</v>
      </c>
      <c r="F140" s="12" t="n">
        <v>0.15</v>
      </c>
      <c r="G140" s="7" t="s">
        <v>187</v>
      </c>
      <c r="H140" s="8" t="s">
        <v>509</v>
      </c>
    </row>
    <row r="141" customFormat="false" ht="35.05" hidden="false" customHeight="false" outlineLevel="0" collapsed="false">
      <c r="A141" s="4" t="s">
        <v>519</v>
      </c>
      <c r="B141" s="4" t="s">
        <v>505</v>
      </c>
      <c r="C141" s="5" t="s">
        <v>506</v>
      </c>
      <c r="D141" s="5" t="s">
        <v>520</v>
      </c>
      <c r="E141" s="5" t="s">
        <v>521</v>
      </c>
      <c r="F141" s="10" t="n">
        <v>0.04</v>
      </c>
      <c r="G141" s="4" t="s">
        <v>327</v>
      </c>
      <c r="H141" s="5" t="s">
        <v>509</v>
      </c>
    </row>
    <row r="142" customFormat="false" ht="35.05" hidden="false" customHeight="false" outlineLevel="0" collapsed="false">
      <c r="A142" s="7" t="s">
        <v>522</v>
      </c>
      <c r="B142" s="7" t="s">
        <v>505</v>
      </c>
      <c r="C142" s="8" t="s">
        <v>506</v>
      </c>
      <c r="D142" s="8" t="s">
        <v>523</v>
      </c>
      <c r="E142" s="8" t="s">
        <v>524</v>
      </c>
      <c r="F142" s="9" t="n">
        <v>0.1</v>
      </c>
      <c r="G142" s="7" t="s">
        <v>327</v>
      </c>
      <c r="H142" s="8" t="s">
        <v>509</v>
      </c>
    </row>
    <row r="143" customFormat="false" ht="35.05" hidden="false" customHeight="false" outlineLevel="0" collapsed="false">
      <c r="A143" s="4" t="s">
        <v>525</v>
      </c>
      <c r="B143" s="4" t="s">
        <v>505</v>
      </c>
      <c r="C143" s="5" t="s">
        <v>506</v>
      </c>
      <c r="D143" s="5" t="s">
        <v>526</v>
      </c>
      <c r="E143" s="5" t="s">
        <v>527</v>
      </c>
      <c r="F143" s="6" t="n">
        <v>0.08</v>
      </c>
      <c r="G143" s="4" t="s">
        <v>327</v>
      </c>
      <c r="H143" s="5" t="s">
        <v>509</v>
      </c>
    </row>
    <row r="144" customFormat="false" ht="35.05" hidden="false" customHeight="false" outlineLevel="0" collapsed="false">
      <c r="A144" s="7" t="s">
        <v>528</v>
      </c>
      <c r="B144" s="7" t="s">
        <v>505</v>
      </c>
      <c r="C144" s="8" t="s">
        <v>529</v>
      </c>
      <c r="D144" s="8" t="s">
        <v>530</v>
      </c>
      <c r="E144" s="8" t="s">
        <v>531</v>
      </c>
      <c r="F144" s="12" t="n">
        <v>0.22</v>
      </c>
      <c r="G144" s="7" t="s">
        <v>187</v>
      </c>
      <c r="H144" s="8" t="s">
        <v>509</v>
      </c>
    </row>
    <row r="145" customFormat="false" ht="35.05" hidden="false" customHeight="false" outlineLevel="0" collapsed="false">
      <c r="A145" s="4" t="s">
        <v>532</v>
      </c>
      <c r="B145" s="4" t="s">
        <v>505</v>
      </c>
      <c r="C145" s="5" t="s">
        <v>529</v>
      </c>
      <c r="D145" s="5" t="s">
        <v>533</v>
      </c>
      <c r="E145" s="5" t="s">
        <v>534</v>
      </c>
      <c r="F145" s="13" t="n">
        <v>0.28</v>
      </c>
      <c r="G145" s="4" t="s">
        <v>187</v>
      </c>
      <c r="H145" s="5" t="s">
        <v>509</v>
      </c>
    </row>
    <row r="146" customFormat="false" ht="35.05" hidden="false" customHeight="false" outlineLevel="0" collapsed="false">
      <c r="A146" s="7" t="s">
        <v>535</v>
      </c>
      <c r="B146" s="7" t="s">
        <v>505</v>
      </c>
      <c r="C146" s="8" t="s">
        <v>529</v>
      </c>
      <c r="D146" s="8" t="s">
        <v>536</v>
      </c>
      <c r="E146" s="8" t="s">
        <v>537</v>
      </c>
      <c r="F146" s="9" t="n">
        <v>0.12</v>
      </c>
      <c r="G146" s="7" t="s">
        <v>327</v>
      </c>
      <c r="H146" s="8" t="s">
        <v>509</v>
      </c>
    </row>
    <row r="147" customFormat="false" ht="46.25" hidden="false" customHeight="false" outlineLevel="0" collapsed="false">
      <c r="A147" s="4" t="s">
        <v>538</v>
      </c>
      <c r="B147" s="4" t="s">
        <v>505</v>
      </c>
      <c r="C147" s="5" t="s">
        <v>529</v>
      </c>
      <c r="D147" s="5" t="s">
        <v>539</v>
      </c>
      <c r="E147" s="5" t="s">
        <v>540</v>
      </c>
      <c r="F147" s="6" t="n">
        <v>0.08</v>
      </c>
      <c r="G147" s="4" t="s">
        <v>327</v>
      </c>
      <c r="H147" s="5" t="s">
        <v>509</v>
      </c>
    </row>
    <row r="148" customFormat="false" ht="35.05" hidden="false" customHeight="false" outlineLevel="0" collapsed="false">
      <c r="A148" s="7" t="s">
        <v>541</v>
      </c>
      <c r="B148" s="7" t="s">
        <v>505</v>
      </c>
      <c r="C148" s="8" t="s">
        <v>529</v>
      </c>
      <c r="D148" s="8" t="s">
        <v>542</v>
      </c>
      <c r="E148" s="8" t="s">
        <v>543</v>
      </c>
      <c r="F148" s="12" t="n">
        <v>0.18</v>
      </c>
      <c r="G148" s="7" t="s">
        <v>187</v>
      </c>
      <c r="H148" s="8" t="s">
        <v>509</v>
      </c>
    </row>
    <row r="149" customFormat="false" ht="35.05" hidden="false" customHeight="false" outlineLevel="0" collapsed="false">
      <c r="A149" s="4" t="s">
        <v>544</v>
      </c>
      <c r="B149" s="4" t="s">
        <v>505</v>
      </c>
      <c r="C149" s="5" t="s">
        <v>529</v>
      </c>
      <c r="D149" s="5" t="s">
        <v>545</v>
      </c>
      <c r="E149" s="5" t="s">
        <v>546</v>
      </c>
      <c r="F149" s="13" t="n">
        <v>0.16</v>
      </c>
      <c r="G149" s="4" t="s">
        <v>187</v>
      </c>
      <c r="H149" s="5" t="s">
        <v>509</v>
      </c>
    </row>
    <row r="150" customFormat="false" ht="46.25" hidden="false" customHeight="false" outlineLevel="0" collapsed="false">
      <c r="A150" s="7" t="s">
        <v>547</v>
      </c>
      <c r="B150" s="7" t="s">
        <v>505</v>
      </c>
      <c r="C150" s="8" t="s">
        <v>548</v>
      </c>
      <c r="D150" s="8" t="s">
        <v>549</v>
      </c>
      <c r="E150" s="8" t="s">
        <v>550</v>
      </c>
      <c r="F150" s="12" t="n">
        <v>0.32</v>
      </c>
      <c r="G150" s="7" t="s">
        <v>187</v>
      </c>
      <c r="H150" s="8" t="s">
        <v>509</v>
      </c>
    </row>
    <row r="151" customFormat="false" ht="35.05" hidden="false" customHeight="false" outlineLevel="0" collapsed="false">
      <c r="A151" s="4" t="s">
        <v>551</v>
      </c>
      <c r="B151" s="4" t="s">
        <v>505</v>
      </c>
      <c r="C151" s="5" t="s">
        <v>548</v>
      </c>
      <c r="D151" s="5" t="s">
        <v>552</v>
      </c>
      <c r="E151" s="5" t="s">
        <v>553</v>
      </c>
      <c r="F151" s="13" t="n">
        <v>0.28</v>
      </c>
      <c r="G151" s="4" t="s">
        <v>187</v>
      </c>
      <c r="H151" s="5" t="s">
        <v>509</v>
      </c>
    </row>
    <row r="152" customFormat="false" ht="35.05" hidden="false" customHeight="false" outlineLevel="0" collapsed="false">
      <c r="A152" s="7" t="s">
        <v>554</v>
      </c>
      <c r="B152" s="7" t="s">
        <v>505</v>
      </c>
      <c r="C152" s="8" t="s">
        <v>548</v>
      </c>
      <c r="D152" s="8" t="s">
        <v>555</v>
      </c>
      <c r="E152" s="8" t="s">
        <v>556</v>
      </c>
      <c r="F152" s="12" t="n">
        <v>0.24</v>
      </c>
      <c r="G152" s="7" t="s">
        <v>187</v>
      </c>
      <c r="H152" s="8" t="s">
        <v>509</v>
      </c>
    </row>
    <row r="153" customFormat="false" ht="35.05" hidden="false" customHeight="false" outlineLevel="0" collapsed="false">
      <c r="A153" s="4" t="s">
        <v>557</v>
      </c>
      <c r="B153" s="4" t="s">
        <v>505</v>
      </c>
      <c r="C153" s="5" t="s">
        <v>548</v>
      </c>
      <c r="D153" s="5" t="s">
        <v>558</v>
      </c>
      <c r="E153" s="5" t="s">
        <v>559</v>
      </c>
      <c r="F153" s="13" t="n">
        <v>0.2</v>
      </c>
      <c r="G153" s="4" t="s">
        <v>187</v>
      </c>
      <c r="H153" s="5" t="s">
        <v>509</v>
      </c>
    </row>
    <row r="154" customFormat="false" ht="46.25" hidden="false" customHeight="false" outlineLevel="0" collapsed="false">
      <c r="A154" s="7" t="s">
        <v>560</v>
      </c>
      <c r="B154" s="7" t="s">
        <v>505</v>
      </c>
      <c r="C154" s="8" t="s">
        <v>548</v>
      </c>
      <c r="D154" s="8" t="s">
        <v>561</v>
      </c>
      <c r="E154" s="8" t="s">
        <v>562</v>
      </c>
      <c r="F154" s="12" t="n">
        <v>0.26</v>
      </c>
      <c r="G154" s="7" t="s">
        <v>187</v>
      </c>
      <c r="H154" s="8" t="s">
        <v>509</v>
      </c>
    </row>
    <row r="155" customFormat="false" ht="35.05" hidden="false" customHeight="false" outlineLevel="0" collapsed="false">
      <c r="A155" s="4" t="s">
        <v>563</v>
      </c>
      <c r="B155" s="4" t="s">
        <v>505</v>
      </c>
      <c r="C155" s="5" t="s">
        <v>548</v>
      </c>
      <c r="D155" s="5" t="s">
        <v>564</v>
      </c>
      <c r="E155" s="5" t="s">
        <v>565</v>
      </c>
      <c r="F155" s="13" t="n">
        <v>0.3</v>
      </c>
      <c r="G155" s="4" t="s">
        <v>187</v>
      </c>
      <c r="H155" s="5" t="s">
        <v>509</v>
      </c>
    </row>
    <row r="156" customFormat="false" ht="35.05" hidden="false" customHeight="false" outlineLevel="0" collapsed="false">
      <c r="A156" s="7" t="s">
        <v>566</v>
      </c>
      <c r="B156" s="7" t="s">
        <v>505</v>
      </c>
      <c r="C156" s="8" t="s">
        <v>548</v>
      </c>
      <c r="D156" s="8" t="s">
        <v>567</v>
      </c>
      <c r="E156" s="8" t="s">
        <v>568</v>
      </c>
      <c r="F156" s="12" t="n">
        <v>0.22</v>
      </c>
      <c r="G156" s="7" t="s">
        <v>187</v>
      </c>
      <c r="H156" s="8" t="s">
        <v>509</v>
      </c>
    </row>
    <row r="157" customFormat="false" ht="23.85" hidden="false" customHeight="false" outlineLevel="0" collapsed="false">
      <c r="A157" s="4" t="s">
        <v>569</v>
      </c>
      <c r="B157" s="4" t="s">
        <v>505</v>
      </c>
      <c r="C157" s="5" t="s">
        <v>570</v>
      </c>
      <c r="D157" s="5" t="s">
        <v>571</v>
      </c>
      <c r="E157" s="5" t="s">
        <v>571</v>
      </c>
      <c r="F157" s="13" t="n">
        <v>0.15</v>
      </c>
      <c r="G157" s="4" t="s">
        <v>187</v>
      </c>
      <c r="H157" s="5" t="s">
        <v>509</v>
      </c>
    </row>
    <row r="158" customFormat="false" ht="23.85" hidden="false" customHeight="false" outlineLevel="0" collapsed="false">
      <c r="A158" s="7" t="s">
        <v>572</v>
      </c>
      <c r="B158" s="7" t="s">
        <v>505</v>
      </c>
      <c r="C158" s="8" t="s">
        <v>570</v>
      </c>
      <c r="D158" s="8" t="s">
        <v>573</v>
      </c>
      <c r="E158" s="8" t="s">
        <v>573</v>
      </c>
      <c r="F158" s="9" t="n">
        <v>0.08</v>
      </c>
      <c r="G158" s="7" t="s">
        <v>187</v>
      </c>
      <c r="H158" s="8" t="s">
        <v>509</v>
      </c>
    </row>
    <row r="159" customFormat="false" ht="23.85" hidden="false" customHeight="false" outlineLevel="0" collapsed="false">
      <c r="A159" s="4" t="s">
        <v>574</v>
      </c>
      <c r="B159" s="4" t="s">
        <v>505</v>
      </c>
      <c r="C159" s="5" t="s">
        <v>570</v>
      </c>
      <c r="D159" s="5" t="s">
        <v>575</v>
      </c>
      <c r="E159" s="5" t="s">
        <v>575</v>
      </c>
      <c r="F159" s="6" t="n">
        <v>0.06</v>
      </c>
      <c r="G159" s="4" t="s">
        <v>327</v>
      </c>
      <c r="H159" s="5" t="s">
        <v>509</v>
      </c>
    </row>
    <row r="160" customFormat="false" ht="23.85" hidden="false" customHeight="false" outlineLevel="0" collapsed="false">
      <c r="A160" s="7" t="s">
        <v>576</v>
      </c>
      <c r="B160" s="7" t="s">
        <v>505</v>
      </c>
      <c r="C160" s="8" t="s">
        <v>570</v>
      </c>
      <c r="D160" s="8" t="s">
        <v>577</v>
      </c>
      <c r="E160" s="8" t="s">
        <v>577</v>
      </c>
      <c r="F160" s="9" t="n">
        <v>0.05</v>
      </c>
      <c r="G160" s="7" t="s">
        <v>340</v>
      </c>
      <c r="H160" s="8" t="s">
        <v>509</v>
      </c>
    </row>
    <row r="161" customFormat="false" ht="23.85" hidden="false" customHeight="false" outlineLevel="0" collapsed="false">
      <c r="A161" s="4" t="s">
        <v>578</v>
      </c>
      <c r="B161" s="4" t="s">
        <v>505</v>
      </c>
      <c r="C161" s="5" t="s">
        <v>570</v>
      </c>
      <c r="D161" s="5" t="s">
        <v>579</v>
      </c>
      <c r="E161" s="5" t="s">
        <v>579</v>
      </c>
      <c r="F161" s="6" t="n">
        <v>0.12</v>
      </c>
      <c r="G161" s="4" t="s">
        <v>187</v>
      </c>
      <c r="H161" s="5" t="s">
        <v>509</v>
      </c>
    </row>
    <row r="162" customFormat="false" ht="23.85" hidden="false" customHeight="false" outlineLevel="0" collapsed="false">
      <c r="A162" s="7" t="s">
        <v>580</v>
      </c>
      <c r="B162" s="7" t="s">
        <v>505</v>
      </c>
      <c r="C162" s="8" t="s">
        <v>570</v>
      </c>
      <c r="D162" s="8" t="s">
        <v>581</v>
      </c>
      <c r="E162" s="8" t="s">
        <v>581</v>
      </c>
      <c r="F162" s="9" t="n">
        <v>0.07</v>
      </c>
      <c r="G162" s="7" t="s">
        <v>340</v>
      </c>
      <c r="H162" s="8" t="s">
        <v>509</v>
      </c>
    </row>
    <row r="163" customFormat="false" ht="23.85" hidden="false" customHeight="false" outlineLevel="0" collapsed="false">
      <c r="A163" s="4" t="s">
        <v>582</v>
      </c>
      <c r="B163" s="4" t="s">
        <v>505</v>
      </c>
      <c r="C163" s="5" t="s">
        <v>583</v>
      </c>
      <c r="D163" s="5" t="s">
        <v>584</v>
      </c>
      <c r="E163" s="5" t="s">
        <v>584</v>
      </c>
      <c r="F163" s="13" t="n">
        <v>0.4</v>
      </c>
      <c r="G163" s="4" t="s">
        <v>187</v>
      </c>
      <c r="H163" s="5" t="s">
        <v>509</v>
      </c>
    </row>
    <row r="164" customFormat="false" ht="23.85" hidden="false" customHeight="false" outlineLevel="0" collapsed="false">
      <c r="A164" s="7" t="s">
        <v>585</v>
      </c>
      <c r="B164" s="7" t="s">
        <v>505</v>
      </c>
      <c r="C164" s="8" t="s">
        <v>583</v>
      </c>
      <c r="D164" s="8" t="s">
        <v>586</v>
      </c>
      <c r="E164" s="8" t="s">
        <v>586</v>
      </c>
      <c r="F164" s="12" t="n">
        <v>0.25</v>
      </c>
      <c r="G164" s="7" t="s">
        <v>327</v>
      </c>
      <c r="H164" s="8" t="s">
        <v>509</v>
      </c>
    </row>
    <row r="165" customFormat="false" ht="23.85" hidden="false" customHeight="false" outlineLevel="0" collapsed="false">
      <c r="A165" s="4" t="s">
        <v>587</v>
      </c>
      <c r="B165" s="4" t="s">
        <v>505</v>
      </c>
      <c r="C165" s="5" t="s">
        <v>583</v>
      </c>
      <c r="D165" s="5" t="s">
        <v>588</v>
      </c>
      <c r="E165" s="5" t="s">
        <v>588</v>
      </c>
      <c r="F165" s="13" t="n">
        <v>0.38</v>
      </c>
      <c r="G165" s="4" t="s">
        <v>187</v>
      </c>
      <c r="H165" s="5" t="s">
        <v>509</v>
      </c>
    </row>
    <row r="166" customFormat="false" ht="23.85" hidden="false" customHeight="false" outlineLevel="0" collapsed="false">
      <c r="A166" s="7" t="s">
        <v>589</v>
      </c>
      <c r="B166" s="7" t="s">
        <v>505</v>
      </c>
      <c r="C166" s="8" t="s">
        <v>583</v>
      </c>
      <c r="D166" s="8" t="s">
        <v>590</v>
      </c>
      <c r="E166" s="8" t="s">
        <v>590</v>
      </c>
      <c r="F166" s="12" t="n">
        <v>0.3</v>
      </c>
      <c r="G166" s="7" t="s">
        <v>187</v>
      </c>
      <c r="H166" s="8" t="s">
        <v>509</v>
      </c>
    </row>
    <row r="167" customFormat="false" ht="23.85" hidden="false" customHeight="false" outlineLevel="0" collapsed="false">
      <c r="A167" s="4" t="s">
        <v>591</v>
      </c>
      <c r="B167" s="4" t="s">
        <v>505</v>
      </c>
      <c r="C167" s="5" t="s">
        <v>583</v>
      </c>
      <c r="D167" s="5" t="s">
        <v>592</v>
      </c>
      <c r="E167" s="5" t="s">
        <v>592</v>
      </c>
      <c r="F167" s="13" t="n">
        <v>0.35</v>
      </c>
      <c r="G167" s="4" t="s">
        <v>187</v>
      </c>
      <c r="H167" s="5" t="s">
        <v>509</v>
      </c>
    </row>
    <row r="168" customFormat="false" ht="23.85" hidden="false" customHeight="false" outlineLevel="0" collapsed="false">
      <c r="A168" s="7" t="s">
        <v>593</v>
      </c>
      <c r="B168" s="7" t="s">
        <v>505</v>
      </c>
      <c r="C168" s="8" t="s">
        <v>583</v>
      </c>
      <c r="D168" s="8" t="s">
        <v>594</v>
      </c>
      <c r="E168" s="8" t="s">
        <v>594</v>
      </c>
      <c r="F168" s="12" t="n">
        <v>0.15</v>
      </c>
      <c r="G168" s="7" t="s">
        <v>340</v>
      </c>
      <c r="H168" s="8" t="s">
        <v>509</v>
      </c>
    </row>
    <row r="169" customFormat="false" ht="23.85" hidden="false" customHeight="false" outlineLevel="0" collapsed="false">
      <c r="A169" s="4" t="s">
        <v>595</v>
      </c>
      <c r="B169" s="4" t="s">
        <v>505</v>
      </c>
      <c r="C169" s="5" t="s">
        <v>596</v>
      </c>
      <c r="D169" s="5" t="s">
        <v>597</v>
      </c>
      <c r="E169" s="5" t="s">
        <v>597</v>
      </c>
      <c r="F169" s="13" t="n">
        <v>0.25</v>
      </c>
      <c r="G169" s="4" t="s">
        <v>187</v>
      </c>
      <c r="H169" s="5" t="s">
        <v>509</v>
      </c>
    </row>
    <row r="170" customFormat="false" ht="23.85" hidden="false" customHeight="false" outlineLevel="0" collapsed="false">
      <c r="A170" s="7" t="s">
        <v>598</v>
      </c>
      <c r="B170" s="7" t="s">
        <v>505</v>
      </c>
      <c r="C170" s="8" t="s">
        <v>596</v>
      </c>
      <c r="D170" s="8" t="s">
        <v>599</v>
      </c>
      <c r="E170" s="8" t="s">
        <v>599</v>
      </c>
      <c r="F170" s="12" t="n">
        <v>0.28</v>
      </c>
      <c r="G170" s="7" t="s">
        <v>187</v>
      </c>
      <c r="H170" s="8" t="s">
        <v>509</v>
      </c>
    </row>
    <row r="171" customFormat="false" ht="23.85" hidden="false" customHeight="false" outlineLevel="0" collapsed="false">
      <c r="A171" s="4" t="s">
        <v>600</v>
      </c>
      <c r="B171" s="4" t="s">
        <v>505</v>
      </c>
      <c r="C171" s="5" t="s">
        <v>596</v>
      </c>
      <c r="D171" s="5" t="s">
        <v>601</v>
      </c>
      <c r="E171" s="5" t="s">
        <v>601</v>
      </c>
      <c r="F171" s="13" t="n">
        <v>0.32</v>
      </c>
      <c r="G171" s="4" t="s">
        <v>187</v>
      </c>
      <c r="H171" s="5" t="s">
        <v>509</v>
      </c>
    </row>
    <row r="172" customFormat="false" ht="23.85" hidden="false" customHeight="false" outlineLevel="0" collapsed="false">
      <c r="A172" s="7" t="s">
        <v>602</v>
      </c>
      <c r="B172" s="7" t="s">
        <v>505</v>
      </c>
      <c r="C172" s="8" t="s">
        <v>596</v>
      </c>
      <c r="D172" s="8" t="s">
        <v>603</v>
      </c>
      <c r="E172" s="8" t="s">
        <v>603</v>
      </c>
      <c r="F172" s="12" t="n">
        <v>0.15</v>
      </c>
      <c r="G172" s="7" t="s">
        <v>340</v>
      </c>
      <c r="H172" s="8" t="s">
        <v>509</v>
      </c>
    </row>
    <row r="173" customFormat="false" ht="23.85" hidden="false" customHeight="false" outlineLevel="0" collapsed="false">
      <c r="A173" s="4" t="s">
        <v>604</v>
      </c>
      <c r="B173" s="4" t="s">
        <v>505</v>
      </c>
      <c r="C173" s="5" t="s">
        <v>596</v>
      </c>
      <c r="D173" s="5" t="s">
        <v>605</v>
      </c>
      <c r="E173" s="5" t="s">
        <v>605</v>
      </c>
      <c r="F173" s="13" t="n">
        <v>0.18</v>
      </c>
      <c r="G173" s="4" t="s">
        <v>327</v>
      </c>
      <c r="H173" s="5" t="s">
        <v>509</v>
      </c>
    </row>
    <row r="174" customFormat="false" ht="23.85" hidden="false" customHeight="false" outlineLevel="0" collapsed="false">
      <c r="A174" s="7" t="s">
        <v>606</v>
      </c>
      <c r="B174" s="7" t="s">
        <v>505</v>
      </c>
      <c r="C174" s="8" t="s">
        <v>607</v>
      </c>
      <c r="D174" s="8" t="s">
        <v>608</v>
      </c>
      <c r="E174" s="8" t="s">
        <v>608</v>
      </c>
      <c r="F174" s="11" t="n">
        <v>0.04</v>
      </c>
      <c r="G174" s="7" t="s">
        <v>340</v>
      </c>
      <c r="H174" s="8" t="s">
        <v>509</v>
      </c>
    </row>
    <row r="175" customFormat="false" ht="23.85" hidden="false" customHeight="false" outlineLevel="0" collapsed="false">
      <c r="A175" s="4" t="s">
        <v>609</v>
      </c>
      <c r="B175" s="4" t="s">
        <v>505</v>
      </c>
      <c r="C175" s="5" t="s">
        <v>607</v>
      </c>
      <c r="D175" s="5" t="s">
        <v>610</v>
      </c>
      <c r="E175" s="5" t="s">
        <v>610</v>
      </c>
      <c r="F175" s="10" t="n">
        <v>0.03</v>
      </c>
      <c r="G175" s="4" t="s">
        <v>340</v>
      </c>
      <c r="H175" s="5" t="s">
        <v>509</v>
      </c>
    </row>
    <row r="176" customFormat="false" ht="23.85" hidden="false" customHeight="false" outlineLevel="0" collapsed="false">
      <c r="A176" s="7" t="s">
        <v>611</v>
      </c>
      <c r="B176" s="7" t="s">
        <v>505</v>
      </c>
      <c r="C176" s="8" t="s">
        <v>607</v>
      </c>
      <c r="D176" s="8" t="s">
        <v>612</v>
      </c>
      <c r="E176" s="8" t="s">
        <v>612</v>
      </c>
      <c r="F176" s="9" t="n">
        <v>0.06</v>
      </c>
      <c r="G176" s="7" t="s">
        <v>327</v>
      </c>
      <c r="H176" s="8" t="s">
        <v>509</v>
      </c>
    </row>
    <row r="177" customFormat="false" ht="23.85" hidden="false" customHeight="false" outlineLevel="0" collapsed="false">
      <c r="A177" s="4" t="s">
        <v>613</v>
      </c>
      <c r="B177" s="4" t="s">
        <v>505</v>
      </c>
      <c r="C177" s="5" t="s">
        <v>607</v>
      </c>
      <c r="D177" s="5" t="s">
        <v>614</v>
      </c>
      <c r="E177" s="5" t="s">
        <v>614</v>
      </c>
      <c r="F177" s="6" t="n">
        <v>0.1</v>
      </c>
      <c r="G177" s="4" t="s">
        <v>327</v>
      </c>
      <c r="H177" s="5" t="s">
        <v>509</v>
      </c>
    </row>
    <row r="178" customFormat="false" ht="23.85" hidden="false" customHeight="false" outlineLevel="0" collapsed="false">
      <c r="A178" s="7" t="s">
        <v>615</v>
      </c>
      <c r="B178" s="7" t="s">
        <v>505</v>
      </c>
      <c r="C178" s="8" t="s">
        <v>607</v>
      </c>
      <c r="D178" s="8" t="s">
        <v>616</v>
      </c>
      <c r="E178" s="8" t="s">
        <v>616</v>
      </c>
      <c r="F178" s="11" t="n">
        <v>0.02</v>
      </c>
      <c r="G178" s="7" t="s">
        <v>617</v>
      </c>
      <c r="H178" s="8" t="s">
        <v>509</v>
      </c>
    </row>
  </sheetData>
  <autoFilter ref="A4:H178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" t="s">
        <v>618</v>
      </c>
      <c r="B1" s="1"/>
      <c r="C1" s="1"/>
      <c r="D1" s="1"/>
      <c r="E1" s="1"/>
    </row>
    <row r="3" customFormat="false" ht="15" hidden="false" customHeight="false" outlineLevel="0" collapsed="false">
      <c r="A3" s="3" t="s">
        <v>3</v>
      </c>
      <c r="B3" s="3" t="s">
        <v>619</v>
      </c>
      <c r="C3" s="3" t="s">
        <v>620</v>
      </c>
      <c r="D3" s="3" t="s">
        <v>621</v>
      </c>
      <c r="E3" s="3" t="s">
        <v>622</v>
      </c>
    </row>
    <row r="4" customFormat="false" ht="15" hidden="false" customHeight="false" outlineLevel="0" collapsed="false">
      <c r="A4" s="4" t="s">
        <v>11</v>
      </c>
      <c r="B4" s="4" t="s">
        <v>623</v>
      </c>
      <c r="C4" s="14" t="s">
        <v>12</v>
      </c>
      <c r="D4" s="4" t="n">
        <v>6</v>
      </c>
      <c r="E4" s="15" t="n">
        <v>0.0416666666666667</v>
      </c>
    </row>
    <row r="5" customFormat="false" ht="15" hidden="false" customHeight="false" outlineLevel="0" collapsed="false">
      <c r="A5" s="7" t="s">
        <v>11</v>
      </c>
      <c r="B5" s="7" t="s">
        <v>624</v>
      </c>
      <c r="C5" s="16" t="s">
        <v>37</v>
      </c>
      <c r="D5" s="7" t="n">
        <v>8</v>
      </c>
      <c r="E5" s="17" t="n">
        <v>0.10625</v>
      </c>
    </row>
    <row r="6" customFormat="false" ht="15" hidden="false" customHeight="false" outlineLevel="0" collapsed="false">
      <c r="A6" s="4" t="s">
        <v>11</v>
      </c>
      <c r="B6" s="4" t="s">
        <v>625</v>
      </c>
      <c r="C6" s="14" t="s">
        <v>70</v>
      </c>
      <c r="D6" s="4" t="n">
        <v>5</v>
      </c>
      <c r="E6" s="15" t="n">
        <v>0.052</v>
      </c>
    </row>
    <row r="7" customFormat="false" ht="15" hidden="false" customHeight="false" outlineLevel="0" collapsed="false">
      <c r="A7" s="7" t="s">
        <v>11</v>
      </c>
      <c r="B7" s="7" t="s">
        <v>626</v>
      </c>
      <c r="C7" s="16" t="s">
        <v>87</v>
      </c>
      <c r="D7" s="7" t="n">
        <v>7</v>
      </c>
      <c r="E7" s="17" t="n">
        <v>0.115714285714286</v>
      </c>
    </row>
    <row r="8" customFormat="false" ht="15" hidden="false" customHeight="false" outlineLevel="0" collapsed="false">
      <c r="A8" s="4" t="s">
        <v>11</v>
      </c>
      <c r="B8" s="4" t="s">
        <v>627</v>
      </c>
      <c r="C8" s="14" t="s">
        <v>112</v>
      </c>
      <c r="D8" s="4" t="n">
        <v>6</v>
      </c>
      <c r="E8" s="15" t="n">
        <v>0.15</v>
      </c>
    </row>
    <row r="9" customFormat="false" ht="15" hidden="false" customHeight="false" outlineLevel="0" collapsed="false">
      <c r="A9" s="7" t="s">
        <v>11</v>
      </c>
      <c r="B9" s="7" t="s">
        <v>628</v>
      </c>
      <c r="C9" s="16" t="s">
        <v>134</v>
      </c>
      <c r="D9" s="7" t="n">
        <v>7</v>
      </c>
      <c r="E9" s="17" t="n">
        <v>0.147142857142857</v>
      </c>
    </row>
    <row r="10" customFormat="false" ht="15" hidden="false" customHeight="false" outlineLevel="0" collapsed="false">
      <c r="A10" s="4" t="s">
        <v>11</v>
      </c>
      <c r="B10" s="4" t="s">
        <v>629</v>
      </c>
      <c r="C10" s="14" t="s">
        <v>157</v>
      </c>
      <c r="D10" s="4" t="n">
        <v>8</v>
      </c>
      <c r="E10" s="15" t="n">
        <v>0.12875</v>
      </c>
    </row>
    <row r="11" customFormat="false" ht="15" hidden="false" customHeight="false" outlineLevel="0" collapsed="false">
      <c r="A11" s="7" t="s">
        <v>183</v>
      </c>
      <c r="B11" s="7" t="s">
        <v>630</v>
      </c>
      <c r="C11" s="16" t="s">
        <v>184</v>
      </c>
      <c r="D11" s="7" t="n">
        <v>7</v>
      </c>
      <c r="E11" s="17" t="n">
        <v>0.118571428571429</v>
      </c>
    </row>
    <row r="12" customFormat="false" ht="15" hidden="false" customHeight="false" outlineLevel="0" collapsed="false">
      <c r="A12" s="4" t="s">
        <v>183</v>
      </c>
      <c r="B12" s="4" t="s">
        <v>631</v>
      </c>
      <c r="C12" s="14" t="s">
        <v>208</v>
      </c>
      <c r="D12" s="4" t="n">
        <v>5</v>
      </c>
      <c r="E12" s="15" t="n">
        <v>0.122</v>
      </c>
    </row>
    <row r="13" customFormat="false" ht="15" hidden="false" customHeight="false" outlineLevel="0" collapsed="false">
      <c r="A13" s="7" t="s">
        <v>183</v>
      </c>
      <c r="B13" s="7" t="s">
        <v>632</v>
      </c>
      <c r="C13" s="16" t="s">
        <v>226</v>
      </c>
      <c r="D13" s="7" t="n">
        <v>6</v>
      </c>
      <c r="E13" s="17" t="n">
        <v>0.168333333333333</v>
      </c>
    </row>
    <row r="14" customFormat="false" ht="15" hidden="false" customHeight="false" outlineLevel="0" collapsed="false">
      <c r="A14" s="4" t="s">
        <v>183</v>
      </c>
      <c r="B14" s="4" t="s">
        <v>633</v>
      </c>
      <c r="C14" s="14" t="s">
        <v>245</v>
      </c>
      <c r="D14" s="4" t="n">
        <v>6</v>
      </c>
      <c r="E14" s="15" t="n">
        <v>0.16</v>
      </c>
    </row>
    <row r="15" customFormat="false" ht="15" hidden="false" customHeight="false" outlineLevel="0" collapsed="false">
      <c r="A15" s="7" t="s">
        <v>183</v>
      </c>
      <c r="B15" s="7" t="s">
        <v>634</v>
      </c>
      <c r="C15" s="16" t="s">
        <v>264</v>
      </c>
      <c r="D15" s="7" t="n">
        <v>6</v>
      </c>
      <c r="E15" s="17" t="n">
        <v>0.123333333333333</v>
      </c>
    </row>
    <row r="16" customFormat="false" ht="15" hidden="false" customHeight="false" outlineLevel="0" collapsed="false">
      <c r="A16" s="4" t="s">
        <v>183</v>
      </c>
      <c r="B16" s="4" t="s">
        <v>635</v>
      </c>
      <c r="C16" s="14" t="s">
        <v>283</v>
      </c>
      <c r="D16" s="4" t="n">
        <v>6</v>
      </c>
      <c r="E16" s="15" t="n">
        <v>0.153333333333333</v>
      </c>
    </row>
    <row r="17" customFormat="false" ht="15" hidden="false" customHeight="false" outlineLevel="0" collapsed="false">
      <c r="A17" s="7" t="s">
        <v>183</v>
      </c>
      <c r="B17" s="7" t="s">
        <v>636</v>
      </c>
      <c r="C17" s="16" t="s">
        <v>303</v>
      </c>
      <c r="D17" s="7" t="n">
        <v>5</v>
      </c>
      <c r="E17" s="17" t="n">
        <v>0.118</v>
      </c>
    </row>
    <row r="18" customFormat="false" ht="15" hidden="false" customHeight="false" outlineLevel="0" collapsed="false">
      <c r="A18" s="4" t="s">
        <v>319</v>
      </c>
      <c r="B18" s="4" t="s">
        <v>637</v>
      </c>
      <c r="C18" s="14" t="s">
        <v>320</v>
      </c>
      <c r="D18" s="4" t="n">
        <v>6</v>
      </c>
      <c r="E18" s="15" t="n">
        <v>0.0241166666666667</v>
      </c>
    </row>
    <row r="19" customFormat="false" ht="15" hidden="false" customHeight="false" outlineLevel="0" collapsed="false">
      <c r="A19" s="7" t="s">
        <v>319</v>
      </c>
      <c r="B19" s="7" t="s">
        <v>638</v>
      </c>
      <c r="C19" s="16" t="s">
        <v>347</v>
      </c>
      <c r="D19" s="7" t="n">
        <v>7</v>
      </c>
      <c r="E19" s="17" t="n">
        <v>0.0838571428571429</v>
      </c>
    </row>
    <row r="20" customFormat="false" ht="15" hidden="false" customHeight="false" outlineLevel="0" collapsed="false">
      <c r="A20" s="4" t="s">
        <v>319</v>
      </c>
      <c r="B20" s="4" t="s">
        <v>639</v>
      </c>
      <c r="C20" s="14" t="s">
        <v>376</v>
      </c>
      <c r="D20" s="4" t="n">
        <v>8</v>
      </c>
      <c r="E20" s="15" t="n">
        <v>0.185</v>
      </c>
    </row>
    <row r="21" customFormat="false" ht="15" hidden="false" customHeight="false" outlineLevel="0" collapsed="false">
      <c r="A21" s="7" t="s">
        <v>319</v>
      </c>
      <c r="B21" s="7" t="s">
        <v>640</v>
      </c>
      <c r="C21" s="16" t="s">
        <v>409</v>
      </c>
      <c r="D21" s="7" t="n">
        <v>6</v>
      </c>
      <c r="E21" s="17" t="n">
        <v>0.163333333333333</v>
      </c>
    </row>
    <row r="22" customFormat="false" ht="15" hidden="false" customHeight="false" outlineLevel="0" collapsed="false">
      <c r="A22" s="4" t="s">
        <v>319</v>
      </c>
      <c r="B22" s="4" t="s">
        <v>641</v>
      </c>
      <c r="C22" s="14" t="s">
        <v>434</v>
      </c>
      <c r="D22" s="4" t="n">
        <v>5</v>
      </c>
      <c r="E22" s="15" t="n">
        <v>0.048</v>
      </c>
    </row>
    <row r="23" customFormat="false" ht="15" hidden="false" customHeight="false" outlineLevel="0" collapsed="false">
      <c r="A23" s="7" t="s">
        <v>319</v>
      </c>
      <c r="B23" s="7" t="s">
        <v>642</v>
      </c>
      <c r="C23" s="16" t="s">
        <v>455</v>
      </c>
      <c r="D23" s="7" t="n">
        <v>7</v>
      </c>
      <c r="E23" s="17" t="n">
        <v>0.1</v>
      </c>
    </row>
    <row r="24" customFormat="false" ht="15" hidden="false" customHeight="false" outlineLevel="0" collapsed="false">
      <c r="A24" s="4" t="s">
        <v>319</v>
      </c>
      <c r="B24" s="4" t="s">
        <v>643</v>
      </c>
      <c r="C24" s="14" t="s">
        <v>484</v>
      </c>
      <c r="D24" s="4" t="n">
        <v>5</v>
      </c>
      <c r="E24" s="15" t="n">
        <v>0.2</v>
      </c>
    </row>
    <row r="25" customFormat="false" ht="15" hidden="false" customHeight="false" outlineLevel="0" collapsed="false">
      <c r="A25" s="7" t="s">
        <v>505</v>
      </c>
      <c r="B25" s="7" t="s">
        <v>644</v>
      </c>
      <c r="C25" s="16" t="s">
        <v>506</v>
      </c>
      <c r="D25" s="7" t="n">
        <v>7</v>
      </c>
      <c r="E25" s="17" t="n">
        <v>0.104285714285714</v>
      </c>
    </row>
    <row r="26" customFormat="false" ht="15" hidden="false" customHeight="false" outlineLevel="0" collapsed="false">
      <c r="A26" s="4" t="s">
        <v>505</v>
      </c>
      <c r="B26" s="4" t="s">
        <v>645</v>
      </c>
      <c r="C26" s="14" t="s">
        <v>529</v>
      </c>
      <c r="D26" s="4" t="n">
        <v>6</v>
      </c>
      <c r="E26" s="15" t="n">
        <v>0.173333333333333</v>
      </c>
    </row>
    <row r="27" customFormat="false" ht="15" hidden="false" customHeight="false" outlineLevel="0" collapsed="false">
      <c r="A27" s="7" t="s">
        <v>505</v>
      </c>
      <c r="B27" s="7" t="s">
        <v>646</v>
      </c>
      <c r="C27" s="16" t="s">
        <v>548</v>
      </c>
      <c r="D27" s="7" t="n">
        <v>7</v>
      </c>
      <c r="E27" s="17" t="n">
        <v>0.26</v>
      </c>
    </row>
    <row r="28" customFormat="false" ht="15" hidden="false" customHeight="false" outlineLevel="0" collapsed="false">
      <c r="A28" s="4" t="s">
        <v>505</v>
      </c>
      <c r="B28" s="4" t="s">
        <v>647</v>
      </c>
      <c r="C28" s="14" t="s">
        <v>570</v>
      </c>
      <c r="D28" s="4" t="n">
        <v>6</v>
      </c>
      <c r="E28" s="15" t="n">
        <v>0.0883333333333333</v>
      </c>
    </row>
    <row r="29" customFormat="false" ht="15" hidden="false" customHeight="false" outlineLevel="0" collapsed="false">
      <c r="A29" s="7" t="s">
        <v>505</v>
      </c>
      <c r="B29" s="7" t="s">
        <v>648</v>
      </c>
      <c r="C29" s="16" t="s">
        <v>583</v>
      </c>
      <c r="D29" s="7" t="n">
        <v>6</v>
      </c>
      <c r="E29" s="17" t="n">
        <v>0.305</v>
      </c>
    </row>
    <row r="30" customFormat="false" ht="15" hidden="false" customHeight="false" outlineLevel="0" collapsed="false">
      <c r="A30" s="4" t="s">
        <v>505</v>
      </c>
      <c r="B30" s="4" t="s">
        <v>649</v>
      </c>
      <c r="C30" s="14" t="s">
        <v>596</v>
      </c>
      <c r="D30" s="4" t="n">
        <v>5</v>
      </c>
      <c r="E30" s="15" t="n">
        <v>0.236</v>
      </c>
    </row>
    <row r="31" customFormat="false" ht="15" hidden="false" customHeight="false" outlineLevel="0" collapsed="false">
      <c r="A31" s="7" t="s">
        <v>505</v>
      </c>
      <c r="B31" s="7" t="s">
        <v>650</v>
      </c>
      <c r="C31" s="16" t="s">
        <v>607</v>
      </c>
      <c r="D31" s="7" t="n">
        <v>5</v>
      </c>
      <c r="E31" s="17" t="n">
        <v>0.05</v>
      </c>
    </row>
    <row r="32" customFormat="false" ht="15" hidden="false" customHeight="false" outlineLevel="0" collapsed="false">
      <c r="A32" s="18" t="s">
        <v>651</v>
      </c>
      <c r="D32" s="19" t="n">
        <f aca="false">SUM(D4:D31)</f>
        <v>174</v>
      </c>
      <c r="E32" s="20" t="n">
        <v>0.133917816091954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2026-02-19T16:17:05Z</dcterms:created>
  <dc:creator>openpyxl</dc:creator>
  <dc:description/>
  <dc:language>en-US</dc:language>
  <cp:lastModifiedBy/>
  <dcterms:modified xsi:type="dcterms:W3CDTF">2026-02-19T16:17:05Z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